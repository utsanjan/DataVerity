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polestarllp-my.sharepoint.com/personal/aman_gautam_polestaranalytics_com/Documents/"/>
    </mc:Choice>
  </mc:AlternateContent>
  <xr:revisionPtr revIDLastSave="0" documentId="8_{AA9D6026-34A8-4FBC-A9C8-DC5FDE42CBAC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Summary" sheetId="1" r:id="rId1"/>
    <sheet name="Component Detail" sheetId="2" r:id="rId2"/>
    <sheet name="Dashboard Inventory" sheetId="3" r:id="rId3"/>
    <sheet name="ADO Work Items" sheetId="4" r:id="rId4"/>
    <sheet name="Not Used in Dashboards" sheetId="5" r:id="rId5"/>
    <sheet name="KPI Logic - shared by Aman" sheetId="6" r:id="rId6"/>
  </sheets>
  <definedNames>
    <definedName name="_xlnm._FilterDatabase" localSheetId="3" hidden="1">'ADO Work Items'!$A$1:$E$47</definedName>
    <definedName name="_xlnm._FilterDatabase" localSheetId="1" hidden="1">'Component Detail'!$A$1:$Q$82</definedName>
    <definedName name="_xlnm._FilterDatabase" localSheetId="5" hidden="1">'KPI Logic - shared by Aman'!$A$1:$L$121</definedName>
    <definedName name="_xlnm._FilterDatabase" localSheetId="4" hidden="1">'Not Used in Dashboards'!$A$2:$G$33</definedName>
  </definedNames>
  <calcPr calcId="191028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3" l="1"/>
  <c r="P11" i="3"/>
  <c r="O11" i="3"/>
  <c r="N11" i="3"/>
  <c r="L11" i="3"/>
  <c r="K11" i="3"/>
  <c r="J11" i="3"/>
  <c r="I11" i="3"/>
  <c r="H11" i="3"/>
  <c r="G11" i="3"/>
  <c r="Q10" i="3"/>
  <c r="P10" i="3"/>
  <c r="O10" i="3"/>
  <c r="N10" i="3"/>
  <c r="L10" i="3"/>
  <c r="K10" i="3"/>
  <c r="J10" i="3"/>
  <c r="I10" i="3"/>
  <c r="H10" i="3"/>
  <c r="G10" i="3"/>
  <c r="Q9" i="3"/>
  <c r="P9" i="3"/>
  <c r="O9" i="3"/>
  <c r="N9" i="3"/>
  <c r="L9" i="3"/>
  <c r="K9" i="3"/>
  <c r="J9" i="3"/>
  <c r="I9" i="3"/>
  <c r="H9" i="3"/>
  <c r="G9" i="3"/>
  <c r="Q8" i="3"/>
  <c r="P8" i="3"/>
  <c r="O8" i="3"/>
  <c r="N8" i="3"/>
  <c r="L8" i="3"/>
  <c r="K8" i="3"/>
  <c r="J8" i="3"/>
  <c r="I8" i="3"/>
  <c r="H8" i="3"/>
  <c r="G8" i="3"/>
  <c r="Q7" i="3"/>
  <c r="P7" i="3"/>
  <c r="O7" i="3"/>
  <c r="N7" i="3"/>
  <c r="L7" i="3"/>
  <c r="K7" i="3"/>
  <c r="J7" i="3"/>
  <c r="I7" i="3"/>
  <c r="H7" i="3"/>
  <c r="G7" i="3"/>
  <c r="Q6" i="3"/>
  <c r="P6" i="3"/>
  <c r="O6" i="3"/>
  <c r="N6" i="3"/>
  <c r="L6" i="3"/>
  <c r="K6" i="3"/>
  <c r="J6" i="3"/>
  <c r="I6" i="3"/>
  <c r="H6" i="3"/>
  <c r="G6" i="3"/>
  <c r="Q5" i="3"/>
  <c r="P5" i="3"/>
  <c r="O5" i="3"/>
  <c r="N5" i="3"/>
  <c r="L5" i="3"/>
  <c r="K5" i="3"/>
  <c r="J5" i="3"/>
  <c r="I5" i="3"/>
  <c r="H5" i="3"/>
  <c r="G5" i="3"/>
  <c r="Q4" i="3"/>
  <c r="P4" i="3"/>
  <c r="O4" i="3"/>
  <c r="N4" i="3"/>
  <c r="L4" i="3"/>
  <c r="K4" i="3"/>
  <c r="J4" i="3"/>
  <c r="I4" i="3"/>
  <c r="H4" i="3"/>
  <c r="G4" i="3"/>
  <c r="Q3" i="3"/>
  <c r="P3" i="3"/>
  <c r="O3" i="3"/>
  <c r="N3" i="3"/>
  <c r="L3" i="3"/>
  <c r="K3" i="3"/>
  <c r="J3" i="3"/>
  <c r="I3" i="3"/>
  <c r="H3" i="3"/>
  <c r="G3" i="3"/>
  <c r="Q2" i="3"/>
  <c r="P2" i="3"/>
  <c r="O2" i="3"/>
  <c r="N2" i="3"/>
  <c r="L2" i="3"/>
  <c r="K2" i="3"/>
  <c r="J2" i="3"/>
  <c r="I2" i="3"/>
  <c r="H2" i="3"/>
  <c r="G2" i="3"/>
  <c r="D27" i="1"/>
  <c r="C27" i="1"/>
  <c r="D26" i="1"/>
  <c r="C26" i="1"/>
  <c r="D25" i="1"/>
  <c r="C25" i="1"/>
  <c r="D24" i="1"/>
  <c r="C24" i="1"/>
  <c r="B7" i="1"/>
  <c r="B8" i="1" s="1"/>
  <c r="B6" i="1"/>
  <c r="D28" i="1" l="1"/>
  <c r="F7" i="1"/>
  <c r="R3" i="3"/>
  <c r="E24" i="1"/>
  <c r="E25" i="1"/>
  <c r="R8" i="3"/>
  <c r="K12" i="3"/>
  <c r="R11" i="3"/>
  <c r="P12" i="3"/>
  <c r="E26" i="1"/>
  <c r="R4" i="3"/>
  <c r="Q12" i="3"/>
  <c r="R6" i="3"/>
  <c r="C7" i="1"/>
  <c r="D7" i="1"/>
  <c r="E7" i="1"/>
  <c r="R10" i="3"/>
  <c r="C6" i="1"/>
  <c r="R5" i="3"/>
  <c r="D6" i="1"/>
  <c r="J12" i="3"/>
  <c r="R7" i="3"/>
  <c r="F6" i="1"/>
  <c r="R9" i="3"/>
  <c r="E6" i="1"/>
  <c r="C28" i="1"/>
  <c r="R2" i="3"/>
  <c r="O12" i="3"/>
  <c r="E27" i="1"/>
  <c r="G12" i="3"/>
  <c r="H12" i="3"/>
  <c r="I12" i="3"/>
  <c r="L12" i="3"/>
  <c r="N12" i="3"/>
  <c r="C8" i="1" l="1"/>
  <c r="F8" i="1"/>
  <c r="E28" i="1"/>
  <c r="D8" i="1"/>
  <c r="E8" i="1"/>
  <c r="R12" i="3"/>
</calcChain>
</file>

<file path=xl/sharedStrings.xml><?xml version="1.0" encoding="utf-8"?>
<sst xmlns="http://schemas.openxmlformats.org/spreadsheetml/2006/main" count="2425" uniqueCount="1100">
  <si>
    <t>WealthPulse — Advisor &amp; Leadership Dashboard Inventory</t>
  </si>
  <si>
    <t>Source: Azure DevOps board dump (wealthpulse board_202607081304.xlsx) · Prepared 08-Jul-2026</t>
  </si>
  <si>
    <t>Dashboards to create — by group</t>
  </si>
  <si>
    <t>Group</t>
  </si>
  <si>
    <t>Primary Dashboards / Pages</t>
  </si>
  <si>
    <t>KPIs</t>
  </si>
  <si>
    <t>Charts</t>
  </si>
  <si>
    <t>Tables</t>
  </si>
  <si>
    <t>Total Components</t>
  </si>
  <si>
    <t>Leadership (Epic-6)</t>
  </si>
  <si>
    <t>Advisor (Epic-7)</t>
  </si>
  <si>
    <t>TOTAL</t>
  </si>
  <si>
    <t>How to read this workbook</t>
  </si>
  <si>
    <t>• Dashboard Inventory — one row per page/dashboard with ADO IDs, state, and a live component count (KPIs/Charts/Tables/Panels).</t>
  </si>
  <si>
    <t>• Component Detail — every KPI, chart, table, panel and filter within each page, with its logic/source and build status (filterable).</t>
  </si>
  <si>
    <t>• ADO Work Items — traceability of the Epic-6 / Epic-7 features, user stories, QA stories and open bugs behind these pages.</t>
  </si>
  <si>
    <t>• Counts on this sheet and the Inventory are formula-driven from Component Detail, so edits there flow through automatically.</t>
  </si>
  <si>
    <t>• 'TBD data' = component defined but blocked on data availability (e.g. satisfaction, review dates, NNM targets from Insigneo).</t>
  </si>
  <si>
    <t>Impact of the new Insigneo Gold-model logic - what leadership sees on the dashboards</t>
  </si>
  <si>
    <t>KPIs on these dashboards are DB-driven and their logic has already been updated in the database. Classification follows Aman's KPI-logic doc 'Category' column: only items marked 'Done' behave correctly today; everything else is not-ready. We group the not-ready items into 'Logic can be driven' (Aman can build/derive - expected in future) and 'Can't be achieved' (data not available in Insigneo).</t>
  </si>
  <si>
    <t>Impact category</t>
  </si>
  <si>
    <t>Meaning</t>
  </si>
  <si>
    <t>Leadership</t>
  </si>
  <si>
    <t>Advisor</t>
  </si>
  <si>
    <t>Total</t>
  </si>
  <si>
    <t>1 - Done</t>
  </si>
  <si>
    <t>Behaves correctly after KPI logic updated in DB</t>
  </si>
  <si>
    <t>2 - Logic can be driven</t>
  </si>
  <si>
    <t>Aman to build/derive - expected in future</t>
  </si>
  <si>
    <t>3 - Can't be achieved</t>
  </si>
  <si>
    <t>No data possibility in Insigneo</t>
  </si>
  <si>
    <t>N/A - UI/placeholder</t>
  </si>
  <si>
    <t>UI control / placeholder / framework</t>
  </si>
  <si>
    <t>Count of Group</t>
  </si>
  <si>
    <t>Column Labels</t>
  </si>
  <si>
    <t>Row Labels</t>
  </si>
  <si>
    <t>Grand Total</t>
  </si>
  <si>
    <t>2 - In Progress</t>
  </si>
  <si>
    <t>3 - Data Not Available</t>
  </si>
  <si>
    <t>4 - Partial achieved</t>
  </si>
  <si>
    <t>5 - Insights</t>
  </si>
  <si>
    <t>Dashboard / Page</t>
  </si>
  <si>
    <t>Component Type</t>
  </si>
  <si>
    <t>Component Name</t>
  </si>
  <si>
    <t>Details / Columns</t>
  </si>
  <si>
    <t>Source / KPI Ref</t>
  </si>
  <si>
    <t>Status</t>
  </si>
  <si>
    <t>Tables identified to used</t>
  </si>
  <si>
    <t>KPI/Chart ID</t>
  </si>
  <si>
    <t>SQL Query (Insigneo Query col)</t>
  </si>
  <si>
    <t>Category (logic doc)</t>
  </si>
  <si>
    <t>Impact vs our dashboard</t>
  </si>
  <si>
    <t>Remark (category &amp; reason)</t>
  </si>
  <si>
    <t>ETA</t>
  </si>
  <si>
    <t>Remarks</t>
  </si>
  <si>
    <t>Firm Dashboard (Leadership Home)</t>
  </si>
  <si>
    <t>Chart</t>
  </si>
  <si>
    <t>Revenue &amp; Fee Rate Chart</t>
  </si>
  <si>
    <t>Composed chart: revenue vs fee compression by quarter</t>
  </si>
  <si>
    <t>SUM(net_fee) &amp; (net_fee/AUM)*10000</t>
  </si>
  <si>
    <t>Done</t>
  </si>
  <si>
    <t>fa_commission / transaction_blotter</t>
  </si>
  <si>
    <t>CHART-002</t>
  </si>
  <si>
    <t>WITH ranked_trades AS (
    SELECT
        *,
        ROW_NUMBER() OVER (
            PARTITION BY trade_id
            ORDER BY
                CASE workflow_status
                    WHEN 'Reconciled' THEN 2
                    WHEN 'Confirmed' THEN 1
                    ELSE 0
                END DESC,
                load_time DESC
        ) AS rn
    FROM wealth_pulse_insigneo_model.silver.transaction_blotter
    WHERE workflow_status IN ('Confirmed', 'Reconciled')
      AND broker_month &gt;= add_months(current_date(), -24)
)
SELECT
    DATE(date_trunc('quarter', broker_month)) AS quarter,
    SUM(gross_comm) AS total_revenue,
    ROUND(
        (SUM(gross_comm) / NULLIF(SUM(investment_amount), 0)) * 10000,
        2
    ) AS fee_rate_bps
FROM ranked_trades
WHERE rn = 1
GROUP BY
    DATE(date_trunc('quarter', broker_month))
ORDER BY
    quarter;</t>
  </si>
  <si>
    <t>Phase 3 WIP</t>
  </si>
  <si>
    <t>Category: Done. Revenue &amp; Fee Rate chart logic updated in DB.</t>
  </si>
  <si>
    <t>R&amp;D</t>
  </si>
  <si>
    <t>WITH latest_snapshot_per_quarter AS (
    SELECT
        DATE_TRUNC('quarter', snapshot_date) AS quarter,
        MAX(snapshot_date) AS snapshot_date
    FROM wealth_pulse_insigneo_model.gold.positions
    GROUP BY DATE_TRUNC('quarter', snapshot_date)
),
quarter_aum AS (
    SELECT
        l.quarter,
        SUM(ABS(p.amount)) AS quarter_end_aum
    FROM wealth_pulse_insigneo_model.gold.positions p
    JOIN latest_snapshot_per_quarter l
      ON p.snapshot_date = l.snapshot_date
    GROUP BY l.quarter
),
ranked_trades AS (
    SELECT
        *,
        ROW_NUMBER() OVER (
            PARTITION BY trade_id
            ORDER BY
                CASE workflow_status
                    WHEN 'Reconciled' THEN 2
                    WHEN 'Confirmed' THEN 1
                    ELSE 0
                END DESC,
                load_time DESC
        ) AS rn
    FROM wealth_pulse_insigneo_model.silver.transaction_blotter
    WHERE workflow_status IN ('Confirmed', 'Reconciled')
),
quarter_revenue AS (
    SELECT
        DATE_TRUNC('quarter', broker_month) AS quarter,
        SUM(gross_comm) AS total_revenue
    FROM ranked_trades
    WHERE rn = 1
    GROUP BY DATE_TRUNC('quarter', broker_month)
)
SELECT
    r.quarter,
    r.total_revenue,
    a.quarter_end_aum,
    ROUND(
        (r.total_revenue / NULLIF(a.quarter_end_aum, 0)) * 10000,
        2
    ) AS fee_rate_bps
FROM quarter_revenue r
LEFT JOIN quarter_aum a
       ON r.quarter = a.quarter
ORDER BY r.quarter;</t>
  </si>
  <si>
    <t>KPI</t>
  </si>
  <si>
    <t>Firm AUM</t>
  </si>
  <si>
    <t>Total active client assets + Growth %</t>
  </si>
  <si>
    <t>SUM(fact_position.market_value)</t>
  </si>
  <si>
    <t>KPI-001</t>
  </si>
  <si>
    <t>SELECT SUM(p.amount) AS total_aum
FROM positions p
JOIN financial_account a ON p.financial_account_id = a.financial_account_id
WHERE p.snapshot_date BETWEEN DATEADD(DAY, 1 - DATEPART(WEEKDAY, '2026-01-01'), '2026-01-01')
          AND DATEADD(DAY, 7 - DATEPART(WEEKDAY, '2026-01-01'), '2026-01-01')
  AND a.account_status_indicator = 'O'
  AND a.is_active = 1</t>
  </si>
  <si>
    <t>Category: Done. Total AUM logic updated in DB.</t>
  </si>
  <si>
    <t>Yes</t>
  </si>
  <si>
    <t>Organic Growth Rate</t>
  </si>
  <si>
    <t>(NNA / Beginning AUM) × annualization; vs target %</t>
  </si>
  <si>
    <t>fact_transaction + fact_position</t>
  </si>
  <si>
    <t>KPI-019</t>
  </si>
  <si>
    <t>WITH latest_snapshot AS (
    SELECT
        MAX(snapshot_date) AS end_date
    FROM wealth_pulse_insigneo_model.gold.positions
),
beginning_snapshot AS (
    SELECT
        MAX(snapshot_date) AS start_date
    FROM wealth_pulse_insigneo_model.gold.positions
    WHERE snapshot_date &lt; (
        SELECT DATE_TRUNC('year', end_date)
        FROM latest_snapshot
    )
),
beginning_aum AS (
    SELECT
        SUM(p.amount) AS beginning_aum
    FROM wealth_pulse_insigneo_model.gold.positions p
    JOIN wealth_pulse_insigneo_model.gold.financial_account fa
        ON p.financial_account_id = fa.financial_account_id
    WHERE p.snapshot_date = (
            SELECT snapshot_date
            FROM beginning_snapshot
          )
      AND fa.account_status_indicator = 'O'
      AND fa.is_active = 1
),
net_new_assets AS (
    SELECT
        SUM(
            CASE
                WHEN t.transaction_code IN
                    ('CONTRIBUTION','TRANSFER_IN','RFF','CSR')
                THEN ABS(t.amount)
                ELSE 0
            END
        )
        -
        SUM(
            CASE
                WHEN t.transaction_code IN
                    ('DISTRIBUTION','TRANSFER_OUT','SFF','PCC')
                THEN ABS(t.amount)
                ELSE 0
            END
        ) AS nna
    FROM wealth_pulse_insigneo_model.gold.transactions t
    JOIN wealth_pulse_insigneo_model.gold.financial_account fa
        ON t.financial_account_id = fa.financial_account_id
    CROSS JOIN latest_snapshot ls
    CROSS JOIN beginning_snapshot bs
    WHERE CAST(t.transaction_date AS DATE)
          BETWEEN bs.start_date
              AND ls.end_date
      AND fa.account_status_indicator = 'O'
      AND fa.is_active = 1
)
SELECT
    ROUND(nna.nna,2) AS net_new_assets,
    ROUND(ba.beginning_aum,2) AS beginning_aum,
    ROUND(
        (
            nna.nna /
            NULLIF(ba.beginning_aum,0)
        )
        *
        (12.0 / MONTH(ls.end_date))
        * 100,
        2
    ) AS organic_growth_rate
FROM net_new_assets nna
CROSS JOIN beginning_aum ba
CROSS JOIN latest_snapshot ls;</t>
  </si>
  <si>
    <t>Category: Done. Organic Growth updated in DB.</t>
  </si>
  <si>
    <t>Advisor Intelligence Dashboard (Leadership View)</t>
  </si>
  <si>
    <t>Metric Comparison - NNM Goal %</t>
  </si>
  <si>
    <t>Horizontal bar per advisor (TBD target)</t>
  </si>
  <si>
    <t>NNM Achieved/Target</t>
  </si>
  <si>
    <t>TBD data</t>
  </si>
  <si>
    <t>Goal % not available</t>
  </si>
  <si>
    <t>-</t>
  </si>
  <si>
    <t>Data Not Available</t>
  </si>
  <si>
    <t>Phase 3 Cannot be Achieable</t>
  </si>
  <si>
    <t>Category: Data Not Available. NNM Goal % - target not available (backend config missing).</t>
  </si>
  <si>
    <t>Partially achieved not sure of goal %</t>
  </si>
  <si>
    <t>Client Retention</t>
  </si>
  <si>
    <t>(Beginning AUM - Outflows)/Beginning AUM; assets departed, alert badge</t>
  </si>
  <si>
    <t>fact_position + fact_transaction</t>
  </si>
  <si>
    <t>KPI-020</t>
  </si>
  <si>
    <t>WITH latest_snapshot AS (
    SELECT
        MAX(snapshot_date) AS end_date
    FROM wealth_pulse_insigneo_model.gold.positions
),
beginning_snapshot AS (
    SELECT
        MAX(snapshot_date) AS start_date
    FROM wealth_pulse_insigneo_model.gold.positions
    WHERE snapshot_date &lt; (
        SELECT DATE_TRUNC('quarter', end_date)
        FROM latest_snapshot
    )
),
beginning_aum AS (
    SELECT
        SUM(p.amount) AS beginning_aum
    FROM wealth_pulse_insigneo_model.gold.positions p
    JOIN wealth_pulse_insigneo_model.gold.financial_account fa
        ON p.financial_account_id = fa.financial_account_id
    CROSS JOIN beginning_snapshot bs
    WHERE p.snapshot_date = bs.start_date
      AND fa.account_status_indicator = 'O'
      AND fa.is_active = 1
),
outflows AS (
    SELECT
        SUM(ABS(t.amount)) AS outflow_amount
    FROM wealth_pulse_insigneo_model.gold.transactions t
    JOIN wealth_pulse_insigneo_model.gold.financial_account fa
        ON t.financial_account_id = fa.financial_account_id
    CROSS JOIN latest_snapshot ls
    CROSS JOIN beginning_snapshot bs
    WHERE CAST(t.transaction_date AS DATE)
          BETWEEN bs.start_date
              AND ls.end_date
      AND t.transaction_code IN
            (
                'DISTRIBUTION',
                'TRANSFER_OUT',
                'SFF',
                'PCC'
            )
      AND fa.account_status_indicator = 'O'
      AND fa.is_active = 1
)
SELECT
    ROUND(ba.beginning_aum,2) AS beginning_aum,
    ROUND(COALESCE(o.outflow_amount,0),2) AS outflows,
    ROUND(
        (
            ba.beginning_aum
            -
            COALESCE(o.outflow_amount,0)
        )
        /
        NULLIF(ba.beginning_aum,0)
        * 100,
        2
    ) AS client_retention_rate
FROM beginning_aum ba
CROSS JOIN outflows o;</t>
  </si>
  <si>
    <t>Category: Done. Client Retention updated in DB.</t>
  </si>
  <si>
    <t>Firm AUM Growth Chart</t>
  </si>
  <si>
    <t>Monthly AUM trend for the year (all months on X-axis)</t>
  </si>
  <si>
    <t>SUM(market_value) GROUP BY month</t>
  </si>
  <si>
    <t>CHART-001</t>
  </si>
  <si>
    <t>SELECT
    DATEFROMPARTS(YEAR(snapshot_date), MONTH(snapshot_date), 1) AS [month],
    SUM(amount) AS total_monthly_aum
FROM positions
WHERE snapshot_date &gt;= DATEADD(
    MONTH,
    -23,
    DATEFROMPARTS(YEAR(GETDATE()), MONTH(GETDATE()), 1)
)
GROUP BY DATEFROMPARTS(YEAR(snapshot_date), MONTH(snapshot_date), 1)
ORDER BY [month];</t>
  </si>
  <si>
    <t>Category: Done. 24-month AUM trend; validate window vs Insigneo (flagged 'Doubt').</t>
  </si>
  <si>
    <t>Metric Comparison - Satisfaction</t>
  </si>
  <si>
    <t>Horizontal bar per advisor (0-5)</t>
  </si>
  <si>
    <t>AVG satisfaction / proxy</t>
  </si>
  <si>
    <t>Satisfaction matric not available</t>
  </si>
  <si>
    <t>TABLE-LD-ADV-08</t>
  </si>
  <si>
    <t>Category: Data Not Available. Satisfaction comparison bar - data not available.</t>
  </si>
  <si>
    <t>reference query Not available</t>
  </si>
  <si>
    <t>Retention Trend Chart</t>
  </si>
  <si>
    <t>Retention % per quarter, current quarter highlighted</t>
  </si>
  <si>
    <t>(Beginning AUM-Outflows)/Beginning AUM</t>
  </si>
  <si>
    <t>Category: Done. Quarterly retention trend updated in DB.</t>
  </si>
  <si>
    <t>Query tobe shared</t>
  </si>
  <si>
    <t>Advisor Home Dashboard</t>
  </si>
  <si>
    <t>Allocation vs Target Analytics</t>
  </si>
  <si>
    <t>Current vs target allocation by asset class + over/under indicators</t>
  </si>
  <si>
    <t>asset class value/AUM vs model</t>
  </si>
  <si>
    <t>dim_model_portfolio</t>
  </si>
  <si>
    <t>CHART-006</t>
  </si>
  <si>
    <t>WITH latest_snapshot AS (
    SELECT
        MAX(snapshot_date) AS snapshot_date
    FROM wealth_pulse_insigneo_model.gold.positions
),
current_allocation AS (
    SELECT
        s.asset_class,
        SUM(ABS(p.amount)) AS market_value
    FROM wealth_pulse_insigneo_model.gold.positions p
    INNER JOIN wealth_pulse_insigneo_model.gold.securities s
        ON p.cusip = s.cusip
       AND s.is_active = 1
    JOIN wealth_pulse_insigneo_model.gold.financial_account f
        ON f.financial_account_id = p.financial_account_id
        AND f.is_active = 1
        AND f.account_status_indicator = 'O'
    CROSS JOIN latest_snapshot ls
    WHERE p.snapshot_date = ls.snapshot_date
    GROUP BY
        s.asset_class
),
total_mv AS (
    SELECT
        SUM(market_value) AS total_market_value
    FROM current_allocation
),
model_target AS (
    SELECT
        SUM(d.target_equity_pct * d.total_aum_in_model)
            / NULLIF(SUM(d.total_aum_in_model),0) AS target_equity_pct,
        SUM(d.target_fi_pct * d.total_aum_in_model)
            / NULLIF(SUM(d.total_aum_in_model),0) AS target_fi_pct,
        SUM(d.target_alt_pct * d.total_aum_in_model)
            / NULLIF(SUM(d.total_aum_in_model),0) AS target_alt_pct,
        SUM(d.target_cash_pct * d.total_aum_in_model)
            / NULLIF(SUM(d.total_aum_in_model),0) AS target_cash_pct
    FROM wealth_pulse_insigneo_model.silver.account_model_mapping amm
    INNER JOIN wealth_pulse_insigneo_model.gold.dim_model_portfolio d
        ON amm.model_id = d.model_id
)
SELECT
    ca.asset_class,
    ROUND(
        (ca.market_value / tm.total_market_value) * 100,
        2
    ) AS current_pct,
    CASE
        WHEN ca.asset_class = 'Equity'
            THEN mt.target_equity_pct
        WHEN ca.asset_class = 'Fixed Income'
            THEN mt.target_fi_pct
        WHEN ca.asset_class = 'Alternative Investments'
            THEN mt.target_alt_pct
        WHEN ca.asset_class = 'Cash &amp; Cash Equivalent'
            THEN mt.target_cash_pct
        ELSE 0
    END AS target_pct
FROM current_allocation ca
CROSS JOIN total_mv tm
CROSS JOIN model_target mt
ORDER BY
    current_pct DESC;</t>
  </si>
  <si>
    <t>Category: Data Not Available. Allocation-vs-Target - needs model target allocation, not in Insigneo.</t>
  </si>
  <si>
    <t>Panel</t>
  </si>
  <si>
    <t>Firm AUM Drilldown</t>
  </si>
  <si>
    <t>Top 5 advisor AUM, avg AUM/advisor, avg HH/advisor, NNA QTD, Market appreciation QTD</t>
  </si>
  <si>
    <t>On-click drilldown</t>
  </si>
  <si>
    <t>KPI-054</t>
  </si>
  <si>
    <t>SELECT SUM(p.amount) / NULLIF(COUNT(DISTINCT a.investment_professional_number), 0) AS aum_per_advisor
FROM positions p
JOIN financial_account a ON p.financial_account_id = a.financial_account_id
WHERE CAST(p.snapshot_date AS DATE) BETWEEN DATEADD(DAY, 1 - DATEPART(WEEKDAY, '2026-01-01'), '2026-01-01')
          AND DATEADD(DAY, 7 - DATEPART(WEEKDAY, '2026-01-01'), '2026-01-01')
  AND a.account_status_indicator = 'O'
  AND a.is_active = 1</t>
  </si>
  <si>
    <t>Category: Done. Drilldown metrics (avg AUM/HH per advisor, NNA, market appreciation) updated in DB.</t>
  </si>
  <si>
    <t>Retention Drilldown</t>
  </si>
  <si>
    <t>Assets departed, households departed, revenue lost, advisor-wise attrition</t>
  </si>
  <si>
    <t>KPI-065</t>
  </si>
  <si>
    <t>WITH latest_snapshot AS (
    SELECT MAX(snapshot_date) AS end_date
    FROM wealth_pulse_insigneo_model.gold.positions
),
beginning_snapshot AS (
    SELECT
        MAX(snapshot_date) AS start_date
    FROM wealth_pulse_insigneo_model.gold.positions
    WHERE snapshot_date &lt;
        (SELECT DATE_TRUNC('year', end_date)
         FROM latest_snapshot)
),
departed_households AS (
    SELECT *
    FROM (
        SELECT
            hd.house_hold_name,
            fa.investment_professional_number,
            MAX(fa.date_account_closed) AS close_date,
            COUNT(
                CASE
                    WHEN fa.account_status_indicator &lt;&gt; 'C'
                    THEN 1
                END
            ) AS open_accounts
        FROM wealth_pulse_insigneo_model.gold.household_details hd
        JOIN wealth_pulse_insigneo_model.gold.financial_account fa
            ON hd.financial_account_id = fa.financial_account_id
        WHERE fa.is_active = 1
        GROUP BY
            hd.house_hold_name,
            fa.investment_professional_number
    ) x
    CROSS JOIN latest_snapshot ls
    CROSS JOIN beginning_snapshot bs
    WHERE open_accounts = 0
      AND close_date BETWEEN bs.start_date
                         AND ls.end_date
),
last_snapshot AS (
    SELECT
        dh.house_hold_name,
        MAX(p.snapshot_date) AS snapshot_date
    FROM departed_households dh
    JOIN wealth_pulse_insigneo_model.gold.household_details hd
        ON dh.house_hold_name = hd.house_hold_name
    JOIN wealth_pulse_insigneo_model.gold.positions p
        ON hd.financial_account_id = p.financial_account_id
    WHERE p.snapshot_date &lt; CAST(dh.close_date AS DATE)
    GROUP BY dh.house_hold_name
),
household_aum AS (
    SELECT
        dh.investment_professional_number,
        dh.house_hold_name,
        SUM(p.amount) AS aum_lost
    FROM departed_households dh
    JOIN last_snapshot ls
        ON dh.house_hold_name = ls.house_hold_name
    JOIN wealth_pulse_insigneo_model.gold.household_details hd
        ON dh.house_hold_name = hd.house_hold_name
    JOIN wealth_pulse_insigneo_model.gold.positions p
        ON hd.financial_account_id = p.financial_account_id
       AND p.snapshot_date = ls.snapshot_date
    GROUP BY
        dh.investment_professional_number,
        dh.house_hold_name
)
SELECT
    investment_professional_number AS advisor,
    COUNT(*) AS hh_departed,
    ROUND(SUM(aum_lost),2) AS aum_lost
FROM household_aum
GROUP BY investment_professional_number
ORDER BY aum_lost DESC;</t>
  </si>
  <si>
    <t>Category: Done. Assets/HH departed &amp; revenue-lost updated in DB.</t>
  </si>
  <si>
    <t>Top AUM Growth</t>
  </si>
  <si>
    <t>Advisor with highest AUM growth % (name, current AUM)</t>
  </si>
  <si>
    <t>KPI-058 Advisor Growth Rate</t>
  </si>
  <si>
    <t>KPI-058</t>
  </si>
  <si>
    <t>WITH snapshot_refs AS (
    SELECT
        (
            SELECT MAX(snapshot_date)
            FROM wealth_pulse_insigneo_model.gold.positions
        ) AS current_snapshot,
        (
            SELECT MAX(snapshot_date)
            FROM wealth_pulse_insigneo_model.gold.positions
            WHERE snapshot_date &lt;= ADD_MONTHS(
                (
                    SELECT MAX(snapshot_date)
                    FROM wealth_pulse_insigneo_model.gold.positions
                ),
                -12
            )
        ) AS prior_snapshot
),
current_aum AS (
    SELECT
        fa.investment_professional_number,
        SUM(p.amount) AS current_aum
    FROM wealth_pulse_insigneo_model.gold.positions p
    JOIN wealth_pulse_insigneo_model.gold.financial_account fa
        ON p.financial_account_id = fa.financial_account_id
    CROSS JOIN snapshot_refs s
    WHERE p.snapshot_date = s.current_snapshot
      AND fa.account_status_indicator = 'O'
      AND fa.is_active = 1
    GROUP BY
        fa.investment_professional_number
),
prior_aum AS (
    SELECT
        fa.investment_professional_number,
        SUM(p.amount) AS prior_aum
    FROM wealth_pulse_insigneo_model.gold.positions p
    JOIN wealth_pulse_insigneo_model.gold.financial_account fa
        ON p.financial_account_id = fa.financial_account_id
    CROSS JOIN snapshot_refs s
    WHERE p.snapshot_date = s.prior_snapshot
      AND fa.account_status_indicator = 'O'
      AND fa.is_active = 1
    GROUP BY
        fa.investment_professional_number
),
advisor_growth AS (
    SELECT
        c.investment_professional_number,
        c.current_aum,
        COALESCE(p.prior_aum,0) AS prior_aum,
        ROUND(
            (
                (c.current_aum - p.prior_aum)
                /
                NULLIF(p.prior_aum,0)
            ) * 100,
            2
        ) AS growth_pct
    FROM current_aum c
    LEFT JOIN prior_aum p
        ON c.investment_professional_number = p.investment_professional_number
)
SELECT
    fa.rep_id AS advisor_id,
    fa.record_assigned_name AS advisor_name,
    ROUND(ag.current_aum,2) AS current_aum,
    ag.growth_pct
FROM advisor_growth ag
JOIN wealth_pulse_insigneo_model.gold.financial_advisor fa
    ON ag.investment_professional_number = fa.rep_id
ORDER BY
    growth_pct DESC,
    current_aum DESC
LIMIT 1;</t>
  </si>
  <si>
    <t>Category: Done. Top AUM Growth card updated in DB.</t>
  </si>
  <si>
    <t>Most Net New Money</t>
  </si>
  <si>
    <t>Advisor with highest inflow; % vs target</t>
  </si>
  <si>
    <t>KPI-016 Net New Assets</t>
  </si>
  <si>
    <t>KPI-016</t>
  </si>
  <si>
    <t>WITH latest_snapshot AS (
    SELECT
        MAX(snapshot_date) AS end_date
    FROM wealth_pulse_insigneo_model.gold.positions
),
date_filter AS (
    SELECT
        end_date,
        DATE_TRUNC('year', end_date) AS start_date
    FROM latest_snapshot
),
advisor_nnm AS (
    SELECT
        fa.investment_professional_number,
        SUM(
            CASE
                WHEN t.transaction_code IN ('CONTRIBUTION','TRANSFER_IN','RFF','CSR')
                THEN ABS(t.amount)
                ELSE 0
            END
        )
        -
        SUM(
            CASE
                WHEN t.transaction_code IN ('DISTRIBUTION','TRANSFER_OUT','SFF','PCC')
                THEN ABS(t.amount)
                ELSE 0
            END
        ) AS net_new_money
    FROM wealth_pulse_insigneo_model.gold.transactions t
    INNER JOIN wealth_pulse_insigneo_model.gold.financial_account fa
        ON t.financial_account_id = fa.financial_account_id
    WHERE CAST(t.transaction_date AS DATE)
          BETWEEN (SELECT start_date FROM date_filter)
              AND (SELECT end_date FROM date_filter)
      AND fa.account_status_indicator = 'O'
      AND fa.is_active = 1
    GROUP BY fa.investment_professional_number
),
advisor_aum AS (
    SELECT
        p.investment_professional_number,
        SUM(p.amount) AS current_aum
    FROM wealth_pulse_insigneo_model.gold.positions p
    WHERE p.snapshot_date = (
        SELECT end_date
        FROM latest_snapshot
    )
    GROUP BY p.investment_professional_number
)
SELECT
    fa.rep_id as investment_professional_number,
    fa.record_assigned_name as advisor_name,
    ROUND(n.net_new_money,2) AS net_new_money,
    ROUND(a.current_aum,2) AS current_aum,
    ROUND(
        CASE
            WHEN a.current_aum &gt; 0
            THEN (n.net_new_money / a.current_aum) * 100
            ELSE 0
        END,
        2
    ) AS net_new_money_pct
FROM advisor_nnm n
JOIN advisor_aum a
    ON n.investment_professional_number = a.investment_professional_number
JOIN wealth_pulse_insigneo_model.gold.financial_advisor fa
    ON n.investment_professional_number = fa.rep_id
ORDER BY net_new_money_pct DESC, current_aum DESC
LIMIT 1;</t>
  </si>
  <si>
    <t>Category: Done. Most Net New Money updated in DB.</t>
  </si>
  <si>
    <t>Best Client Retention</t>
  </si>
  <si>
    <t>Advisor retaining highest client assets (trailing 12M)</t>
  </si>
  <si>
    <t>KPI-020 Client Retention Rate</t>
  </si>
  <si>
    <t>Category: Done. Best Client Retention updated in DB.</t>
  </si>
  <si>
    <t>Household Management Dashboard</t>
  </si>
  <si>
    <t>AUM by Segment</t>
  </si>
  <si>
    <t>AUM split UHNW / HNW / Mass Affluent (% contribution)</t>
  </si>
  <si>
    <t>segment_override else segment</t>
  </si>
  <si>
    <t>person_account, categorize it based on the net_worth</t>
  </si>
  <si>
    <t>KPI-069</t>
  </si>
  <si>
    <t>WITH client_segment AS (
    SELECT DISTINCT
        pfm.financial_account_id,
        CASE
            WHEN pa.entity_name IS NOT NULL AND TRIM(pa.entity_name) &lt;&gt; '' THEN 'Corporate'
            WHEN pa.maximum_net_worth &gt;= 1000000 THEN 'HNW'
            WHEN pa.maximum_net_worth &gt;= 10000000 THEN 'UHNW'
            WHEN pa.maximum_net_worth IS NOT NULL THEN 'Mass Affluent'
            WHEN pa.maximum_annual_income &gt;= 1000000 THEN 'UHNW (Estimated)'
            WHEN pa.maximum_annual_income &gt;= 250000 THEN 'HNW (Estimated)'
            ELSE 'Mass Affluent'
        END AS client_segment
    FROM wealth_pulse_insigneo_model.gold.person_financial_mapping pfm
    JOIN wealth_pulse_insigneo_model.gold.person_account pa
        ON pfm.person_account_id = pa.person_account_id
)
SELECT
    cs.client_segment,
    ROUND(SUM(p.amount), 2) AS total_aum
FROM wealth_pulse_insigneo_model.gold.positions p
INNER JOIN wealth_pulse_insigneo_model.gold.financial_account fa
    ON p.financial_account_id = fa.financial_account_id
   AND fa.is_active = 1
LEFT JOIN client_segment cs
    ON p.financial_account_id = cs.financial_account_id
WHERE p.snapshot_date = (
    SELECT
        MAX(snapshot_date) AS snapshot_date
    FROM wealth_pulse_insigneo_model.gold.positions
)
AND fa.account_status_indicator = 'O'
GROUP BY cs.client_segment</t>
  </si>
  <si>
    <t>Category: Data Not Available. AUM by Segment - client segment not in Insigneo.</t>
  </si>
  <si>
    <t>AUM Trend by Advisor</t>
  </si>
  <si>
    <t>Multi-line chart, one line per advisor, monthly; top 5 default</t>
  </si>
  <si>
    <t>SUM(market_value) GROUP BY advisor_id, month</t>
  </si>
  <si>
    <t>CHART-021</t>
  </si>
  <si>
    <t>WITH latest_snapshot AS (
    SELECT MAX(snapshot_date) AS max_snapshot_date
    FROM wealth_pulse_insigneo_model.gold.positions
),
monthly_last_snapshot AS (
    SELECT
        DATE(date_trunc('month', p.snapshot_date)) AS month,
        MAX(p.snapshot_date) AS last_snapshot_date
    FROM wealth_pulse_insigneo_model.gold.positions p
    CROSS JOIN latest_snapshot l
    WHERE p.snapshot_date &gt;= add_months(
        DATE(date_trunc('month', l.max_snapshot_date)),
        -11
    )
    GROUP BY DATE(date_trunc('month', p.snapshot_date))
)
SELECT
    m.month,
    fp.investment_professional_number,
    SUM(ABS(fp.amount)) AS aum
FROM monthly_last_snapshot m
JOIN wealth_pulse_insigneo_model.gold.positions fp
    ON fp.snapshot_date = m.last_snapshot_date
JOIN wealth_pulse_insigneo_model.gold.financial_account f
    ON fp.financial_account_id = f.financial_account_id
WHERE f.account_status_indicator = 'O'
       AND f.is_active = 1
GROUP BY
    m.month,
    fp.investment_professional_number
ORDER BY
    fp.investment_professional_number,
    m.month,
    aum DESC;</t>
  </si>
  <si>
    <t>Category: Done. AUM trend by advisor; validate vs Insigneo (flagged 'Doubt').</t>
  </si>
  <si>
    <t>Metric Comparison - YTD Growth %</t>
  </si>
  <si>
    <t>Horizontal bar per advisor</t>
  </si>
  <si>
    <t>WITH current_aum AS (
  SELECT a.investment_professional_number, SUM(p.amount) AS aum
  FROM positions p
  JOIN financial_account a ON p.financial_account_id = a.financial_account_id
  WHERE CAST(p.snapshot_date AS DATE) BETWEEN DATEADD(DAY, 1 - DATEPART(WEEKDAY, '2026-01-01'), '2026-01-01')
          AND DATEADD(DAY, 7 - DATEPART(WEEKDAY, '2026-01-01'), '2026-01-01')
    AND a.account_status_indicator = 'O'
    AND a.is_active = 1
  GROUP BY a.investment_professional_number
),
prior_aum AS (
  SELECT a.investment_professional_number, SUM(p.amount) AS aum
  FROM positions p
  JOIN financial_account a ON p.financial_account_id = a.financial_account_id
  WHERE CAST(p.snapshot_date AS DATE) BETWEEN DATEADD(YEAR, -1, DATEADD(DAY, 1 - DATEPART(WEEKDAY, '2026-01-01'), '2026-01-01'))
                                        AND DATEADD(YEAR, -1, DATEADD(DAY, 7 - DATEPART(WEEKDAY, '2026-01-01'), '2026-01-01'))
    AND a.account_status_indicator = 'O'
    AND a.is_active = 1
  GROUP BY a.investment_professional_number
)
SELECT c.investment_professional_number,
  (c.aum - COALESCE(pr.aum, 0)) / NULLIF(pr.aum, 0) * 100 AS growth_rate
FROM current_aum c
LEFT JOIN prior_aum pr ON c.investment_professional_number = pr.investment_professional_number</t>
  </si>
  <si>
    <t>Category: Done. YTD Growth comparison bar updated in DB.</t>
  </si>
  <si>
    <t>Metric Comparison - Retention %</t>
  </si>
  <si>
    <t>Category: Done. Retention comparison bar updated in DB.</t>
  </si>
  <si>
    <t>Household Count by Segment</t>
  </si>
  <si>
    <t>Household count per segment</t>
  </si>
  <si>
    <t>grouped count by segment</t>
  </si>
  <si>
    <t>person_Account-&gt;financial_account-&gt;household</t>
  </si>
  <si>
    <t>WITH latest_snapshot AS (
    SELECT
        MAX(snapshot_date) AS snapshot_date
    FROM wealth_pulse_insigneo_model.gold.positions
),
client_segment AS (
    SELECT
        t.house_hold_name,
        CASE
            WHEN MAX(
                CASE
                    WHEN t.entity_name IS NOT NULL
                         AND TRIM(t.entity_name) &lt;&gt; ''
                    THEN 1
                    ELSE 0
                END
            ) = 1
                THEN 'Corporate'
            WHEN SUM(t.maximum_net_worth) &gt;= 10000000
                THEN 'UHNW'
            WHEN SUM(t.maximum_net_worth) &gt;= 1000000
                THEN 'HNW'
            WHEN SUM(t.maximum_net_worth) IS NOT NULL
                THEN 'Mass Affluent'
            WHEN SUM(t.maximum_annual_income) &gt;= 1000000
                THEN 'UHNW (Estimated)'
            WHEN SUM(t.maximum_annual_income) &gt;= 250000
                THEN 'HNW (Estimated)'
            ELSE 'Mass Affluent'
        END AS client_segment
    FROM (
        SELECT DISTINCT
            hd.house_hold_name,
            pa.person_account_id,
            pa.entity_name,
            pa.maximum_net_worth,
            pa.maximum_annual_income
        FROM wealth_pulse_insigneo_model.gold.positions p
        JOIN wealth_pulse_insigneo_model.gold.household_details hd
            ON p.financial_account_id = hd.financial_account_id
        JOIN wealth_pulse_insigneo_model.gold.person_financial_mapping pfm
            ON p.financial_account_id = pfm.financial_account_id
        JOIN wealth_pulse_insigneo_model.gold.person_account pa
            ON pfm.person_account_id = pa.person_account_id
        JOIN wealth_pulse_insigneo_model.gold.financial_account fa
            ON p.financial_account_id = fa.financial_account_id
        WHERE p.snapshot_date = (
                SELECT snapshot_date
                FROM latest_snapshot
              )
          AND fa.account_status_indicator = 'O'
          AND fa.is_active = 1
    ) t
    GROUP BY
        t.house_hold_name
),
household_aum AS (
    SELECT
        hd.house_hold_name,
        SUM(p.amount) AS household_aum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WHERE p.snapshot_date = (
            SELECT snapshot_date
            FROM latest_snapshot
          )
      AND fa.account_status_indicator = 'O'
      AND fa.is_active = 1
    GROUP BY
        hd.house_hold_name
)
SELECT
    cs.client_segment,
    COUNT(DISTINCT ha.house_hold_name) AS household_count,
    ROUND(SUM(ha.household_aum),2) AS aum,
    ROUND(
        SUM(ha.household_aum) * 100.0 /
        SUM(SUM(ha.household_aum)) OVER (),
        2
    ) AS segment_aum_pct
FROM household_aum ha
JOIN client_segment cs
    ON ha.house_hold_name = cs.house_hold_name
GROUP BY
    cs.client_segment
ORDER BY
    aum DESC;</t>
  </si>
  <si>
    <t>Category: Data Not Available. Household Count by Segment - client segment not in Insigneo.</t>
  </si>
  <si>
    <t>Portfolio Analytics Dashboard</t>
  </si>
  <si>
    <t>Sector Exposure - Equity Only (CHART-009)</t>
  </si>
  <si>
    <t>Horizontal bars, sector % of equity AUM, sorted desc</t>
  </si>
  <si>
    <t>fact_position equity assets</t>
  </si>
  <si>
    <t>gold-securities after data dump</t>
  </si>
  <si>
    <t>CHART-009</t>
  </si>
  <si>
    <t>WITH latest_snapshot AS (
    SELECT
        MAX(snapshot_date) AS snapshot_date
    FROM wealth_pulse_insigneo_model.gold.positions
)
SELECT
    s.sector,
    ROUND(
        SUM(ABS(p.amount)) * 100.0
        / NULLIF(SUM(SUM(ABS(p.amount))) OVER (), 0),
        1
    ) AS pct
FROM wealth_pulse_insigneo_model.gold.positions p
JOIN wealth_pulse_insigneo_model.gold.household_details hd
    ON p.financial_account_id = hd.financial_account_id
JOIN wealth_pulse_insigneo_model.gold.financial_account fa
    ON p.financial_account_id = fa.financial_account_id
JOIN wealth_pulse_insigneo_model.gold.securities s
    ON p.cusip = s.cusip
WHERE hd.house_hold_name = 'AURORA'
  AND p.snapshot_date = (
        SELECT snapshot_date
        FROM latest_snapshot
    )
  AND fa.account_status_indicator = 'O'
  AND fa.is_active = 1
  AND s.asset_class = 'Equity'
  AND s.sector IS NOT NULL
GROUP BY
    s.sector
ORDER BY
    pct DESC;</t>
  </si>
  <si>
    <t>Phase 3 Done</t>
  </si>
  <si>
    <t>Category: Data Not Available. Sector Exposure - security sector not in Insigneo.</t>
  </si>
  <si>
    <t>Firm Health (composite)</t>
  </si>
  <si>
    <t>Growth %, Advisor Performance %, Revenue, Retention combined health view</t>
  </si>
  <si>
    <t>Derived from Organic Growth / Revenue / Retention KPIs</t>
  </si>
  <si>
    <t>previous KPIs</t>
  </si>
  <si>
    <t>CHART-003</t>
  </si>
  <si>
    <t>WITH latest_snapshot AS (
    SELECT MAX(snapshot_date) AS max_snapshot_date
    FROM wealth_pulse_insigneo_model.gold.positions
),
/* Organic Growth Rate - Beginning AUM */
beg AS (
    SELECT 
        SUM(p.amount) AS beg_aum
    FROM wealth_pulse_insigneo_model.gold.positions p
    JOIN wealth_pulse_insigneo_model.gold.financial_account a
        ON p.financial_account_id = a.financial_account_id
    CROSS JOIN latest_snapshot l
    WHERE p.snapshot_date = (
        SELECT MAX(snapshot_date)
        FROM wealth_pulse_insigneo_model.gold.positions
        WHERE snapshot_date &lt; DATE_TRUNC(
            'year',
            l.max_snapshot_date
        )
    )
    AND a.account_status_indicator = 'O'
    AND a.is_active = 1
),
/* Organic Growth Rate - NNA YTD */
nna AS (
    SELECT
        SUM(
            CASE 
                WHEN t.transaction_code IN 
                    ('CONTRIBUTION','TRANSFER_IN','RFF','CSR')
                THEN ABS(t.amount)
                ELSE 0
            END
        )
        -
        SUM(
            CASE 
                WHEN t.transaction_code IN 
                    ('DISTRIBUTION','TRANSFER_OUT','SFF','PCC')
                THEN ABS(t.amount)
                ELSE 0
            END
        ) AS nna
    FROM wealth_pulse_insigneo_model.gold.transactions t
    CROSS JOIN latest_snapshot l
    WHERE CAST(t.transaction_date AS DATE)
          BETWEEN DATE_TRUNC('year', l.max_snapshot_date)
          AND l.max_snapshot_date
),
elapsed_months AS (
    SELECT
        MONTH(max_snapshot_date) AS months_elapsed
    FROM latest_snapshot
),
organic_growth AS (
    SELECT
        (
            nna.nna
            /
            NULLIF(beg.beg_aum,0)
        )
        *
        (
            12.0
            /
            elapsed_months.months_elapsed
        )
        *
        100 AS organic_growth_rate
    FROM beg
    CROSS JOIN nna
    CROSS JOIN elapsed_months
),
/* Ring 2 - % Advisors with Positive NNA */
advisor_nna AS (
    SELECT
        a.investment_professional_number,
        SUM(
            CASE
                WHEN t.transaction_code IN 
                    ('CONTRIBUTION','TRANSFER_IN','RFF','CSR')
                THEN ABS(t.amount)
                ELSE 0
            END
        )
        -
        SUM(
            CASE
                WHEN t.transaction_code IN 
                    ('DISTRIBUTION','TRANSFER_OUT','SFF','PCC')
                THEN ABS(t.amount)
                ELSE 0
            END
        ) AS advisor_nna
    FROM wealth_pulse_insigneo_model.gold.transactions t
    JOIN wealth_pulse_insigneo_model.gold.financial_account a
        ON t.financial_account_id = a.financial_account_id
    CROSS JOIN latest_snapshot l
    WHERE CAST(t.transaction_date AS DATE)
          BETWEEN DATE_TRUNC('year', l.max_snapshot_date)
          AND l.max_snapshot_date
    GROUP BY
        a.investment_professional_number
),
positive_nna_advisors AS (
    SELECT
        COUNT(
            CASE WHEN advisor_nna &gt; 0 THEN 1 END
        )
        * 100.0
        /
        NULLIF(COUNT(*),0) AS pct_advisors_positive
    FROM advisor_nna
),
/* Ring 3 - Revenue Run Rate */
revenue_run_rate AS (
    SELECT
        SUM(fc.gross_comm) * 4.0 AS annualized_revenue
    FROM wealth_pulse_insigneo_model.gold.fa_commission fc
    CROSS JOIN latest_snapshot l
    WHERE fc.broker_month &gt;= DATE_TRUNC(
            'quarter',
            l.max_snapshot_date
          )
      AND fc.broker_month &lt;= l.max_snapshot_date
),
/* Ring 4 - Client Retention */
client_retention AS (
    SELECT
        f.investment_professional_number,
        COUNT(DISTINCT h.house_hold_name) AS household_count,
        COUNT(
            DISTINCT CASE
                WHEN f.account_status_indicator = 'O'
                THEN f.financial_account_id
            END
        ) * 100.0
        /
        NULLIF(
            COUNT(DISTINCT f.financial_account_id),
            0
        ) AS retention_pct
    FROM wealth_pulse_insigneo_model.gold.household_details h
    JOIN wealth_pulse_insigneo_model.gold.financial_account f
        ON f.financial_account_id = h.financial_account_id
    WHERE f.is_active = 1
    GROUP BY
        f.investment_professional_number
)
SELECT
    og.organic_growth_rate,
    p.pct_advisors_positive,
    r.annualized_revenue,
    c.retention_pct
FROM organic_growth og
CROSS JOIN positive_nna_advisors p
CROSS JOIN revenue_run_rate r
CROSS JOIN client_retention c;</t>
  </si>
  <si>
    <t>Category: Data Not Available. Firm-Health ring scorecard needs advisor-performance/satisfaction signals; underlying Growth/Revenue/Retention are Done.</t>
  </si>
  <si>
    <t>Household Insights Dashboard (Leadership View)</t>
  </si>
  <si>
    <t>Total Households</t>
  </si>
  <si>
    <t>Count of unique active households</t>
  </si>
  <si>
    <t>COUNT DISTINCT household_id</t>
  </si>
  <si>
    <t>KPI-008</t>
  </si>
  <si>
    <t>(with new derived table)</t>
  </si>
  <si>
    <t>Category: (with new derived table). Total Households via new derived table.</t>
  </si>
  <si>
    <t>Estimated Revenue &amp; Fee Rate</t>
  </si>
  <si>
    <t>Current revenue, Fee Rate (bps), QoQ change, revenue impact from fee change</t>
  </si>
  <si>
    <t>fact_billing_event.net_fee / AUM</t>
  </si>
  <si>
    <t>chatgpt</t>
  </si>
  <si>
    <t>KPI-046</t>
  </si>
  <si>
    <t>WITH latest_snapshot AS (
    SELECT
        MAX(snapshot_date) AS latest_date
    FROM wealth_pulse_insigneo_model.gold.positions
),
current_year_revenue AS (
    SELECT
        SUM(fc.gross_comm) AS ytd_revenue,
        MONTH(MAX(fc.broker_month)) AS completed_months
    FROM wealth_pulse_insigneo_model.gold.fa_commission fc
    JOIN wealth_pulse_insigneo_model.gold.financial_account fa
        ON fc.financial_account_id = fa.financial_account_id
    CROSS JOIN latest_snapshot lm
    WHERE fc.broker_month BETWEEN
          DATE_TRUNC('year', lm.latest_date)
          AND lm.latest_date
      AND fa.account_status_indicator='O'
      AND fa.is_active=1
),
previous_year_revenue AS (
    SELECT
        SUM(fc.gross_comm) AS ytd_revenue
    FROM wealth_pulse_insigneo_model.gold.fa_commission fc
    JOIN wealth_pulse_insigneo_model.gold.financial_account fa
        ON fc.financial_account_id = fa.financial_account_id
    CROSS JOIN current_year_revenue c
    CROSS JOIN latest_snapshot lm
    WHERE fc.broker_month BETWEEN
        ADD_MONTHS(
            DATE_TRUNC('year', lm.latest_date),
            -12
        )
        AND
        ADD_MONTHS(
            ADD_MONTHS(
                DATE_TRUNC('year', lm.latest_date),
                -12
            ),
            c.completed_months
        ) - 1
      AND fa.account_status_indicator='O'
      AND fa.is_active=1
)
SELECT
    ROUND(
        c.ytd_revenue * 12 / c.completed_months,
        2
    ) AS estimated_annual_revenue,
    ROUND(
        p.ytd_revenue * 12 / c.completed_months,
        2
    ) AS previous_estimated_revenue,
    ROUND(
        (
            (c.ytd_revenue * 12 / c.completed_months) - (p.ytd_revenue * 12 / c.completed_months)
        )/
        NULLIF((p.ytd_revenue * 12 / c.completed_months),0) * 100, 2
    ) AS yoy_growth_pct
FROM current_year_revenue c
CROSS JOIN previous_year_revenue p;</t>
  </si>
  <si>
    <t>Category: (with new derived table). Revenue &amp; fee rate via new derived table; actual revenue (net_fee) available.</t>
  </si>
  <si>
    <t>confusion on formula , data avaliable however there is an confusion on the right formula.</t>
  </si>
  <si>
    <t>Highest Satisfaction</t>
  </si>
  <si>
    <t>Best client satisfaction score / proxy (TBD - no Insigneo data)</t>
  </si>
  <si>
    <t>fact_client_360.satisfaction_score / proxy</t>
  </si>
  <si>
    <t>Category: Data Not Available. Highest Satisfaction - no satisfaction data in Insigneo (proxy TBD).</t>
  </si>
  <si>
    <t>High Risk Households</t>
  </si>
  <si>
    <t>Households with Risk Score &gt;= high threshold</t>
  </si>
  <si>
    <t>Weighted concentration/drift/cash</t>
  </si>
  <si>
    <t>KPI-072</t>
  </si>
  <si>
    <t>WITH latest_snapshot AS (
    SELECT MAX(snapshot_date) AS max_snapshot_date
    FROM wealth_pulse_insigneo_model.gold.positions
),
/* Account level AUM and cash */
account_base AS (
    SELECT
        ac.financial_account_id,
        ac.account_number,
        ac.investment_professional_number,
        h.house_hold_name,
        (
            COALESCE(ac.trade_date_net_worth,0)
            +
            COALESCE(ac.cash_available,0)
        ) AS account_aum,
        CASE
            WHEN (
                COALESCE(ac.trade_date_net_worth,0)
                +
                COALESCE(ac.cash_available,0)
            ) = 0
            THEN 0
            ELSE
                ac.cash_available * 100.0
                /
                (
                    COALESCE(ac.trade_date_net_worth,0)
                    +
                    COALESCE(ac.cash_available,0)
                )
        END AS cash_pct
    FROM wealth_pulse_insigneo_model.gold.account_summary ac
    JOIN wealth_pulse_insigneo_model.gold.household_details h
        ON ac.financial_account_id = h.financial_account_id
),
/* Maximum security concentration per account */
account_concentration AS (
    SELECT
        p.financial_account_id,
        MAX(
            ABS(p.amount)
            *100.0
            /
            NULLIF(ab.account_aum,0)
        ) AS concentration_pct
    FROM wealth_pulse_insigneo_model.gold.positions p
    JOIN account_base ab
        ON p.financial_account_id = ab.financial_account_id
    CROSS JOIN latest_snapshot l
    WHERE p.snapshot_date = l.max_snapshot_date
    GROUP BY
        p.financial_account_id
),
/* Account model drift */
account_drift AS (
    SELECT
        ab.financial_account_id,
        ABS(
            (
                ac.total_equity * 100.0
                /
                NULLIF(
                    (
                        COALESCE(ac.trade_date_net_worth,0)
                        +
                        COALESCE(ac.cash_available,0)
                    ),
                    0
                )
            )
            -
            dmp.target_equity_pct
        ) AS drift_pct
    FROM account_base ab
    JOIN wealth_pulse_insigneo_model.gold.account_summary ac
        ON ab.financial_account_id =
           ac.financial_account_id
    JOIN wealth_pulse_insigneo_model.silver.account_model_mapping amm
        ON ab.account_number =
           amm.account_number
    JOIN wealth_pulse_insigneo_model.gold.dim_model_portfolio dmp
        ON amm.model_id =
           dmp.model_id
),
/* Household weighted risk metrics */
household_risk AS (
    SELECT
        ab.investment_professional_number,
        ab.house_hold_name,
        /* Maximum concentration risk */
        MAX(
            COALESCE(cc.concentration_pct,0)
        ) AS concentration_risk,
        /* AUM weighted drift */
        SUM(
            COALESCE(ad.drift_pct,0)
            *
            ab.account_aum
        )
        /
        NULLIF(
            SUM(ab.account_aum),
            0
        ) AS drift_risk,
        /* AUM weighted cash */
        SUM(
            ab.cash_pct
            *
            ab.account_aum
        )
        /
        NULLIF(
            SUM(ab.account_aum),
            0
        ) AS cash_risk
    FROM account_base ab
    LEFT JOIN account_concentration cc
        ON ab.financial_account_id =
           cc.financial_account_id
    LEFT JOIN account_drift ad
        ON ab.financial_account_id =
           ad.financial_account_id
    GROUP BY
        ab.investment_professional_number,
        ab.house_hold_name
),
/* Calculate household risk score */
household_score AS (
    SELECT
        investment_professional_number,
        house_hold_name,
        (
            (CASE
                WHEN concentration_risk &gt; 10
                THEN 100
                ELSE concentration_risk * 10
             END)
            +
            (CASE
                WHEN drift_risk &gt; 8
                THEN 100
                ELSE drift_risk * 12.5
             END)
            +
            (CASE
                WHEN cash_risk &gt; 10
                THEN 100
                ELSE cash_risk * 10
             END)
        ) / 3 AS risk_score
    FROM household_risk
)
SELECT
    investment_professional_number AS advisor,
    COUNT(
        CASE
            WHEN risk_score &gt;= 70
            THEN 1
        END
    ) AS high_risk_households,
    COUNT(*) AS total_households,
    COUNT(
        CASE
            WHEN risk_score &gt;= 70
            THEN 1
        END
    )
    *100.0
    /
    NULLIF(COUNT(*),0) AS high_risk_household_pct
FROM household_score
GROUP BY
    investment_professional_number;</t>
  </si>
  <si>
    <t>Category: Data Not Available. High Risk Households - needs drift/cost-basis/unrealized/model/engagement signals not in Insigneo.</t>
  </si>
  <si>
    <t>Filter/Control</t>
  </si>
  <si>
    <t>Search &amp; Filters</t>
  </si>
  <si>
    <t>Search (household/client), Advisor filter, Risk filter (High/Med/Low)</t>
  </si>
  <si>
    <t>UI controls</t>
  </si>
  <si>
    <t>Category: -. Search/Advisor filter is UI; Risk filter depends on blocked risk data.</t>
  </si>
  <si>
    <t>Reviews Overdue</t>
  </si>
  <si>
    <t>Households past review SLA (TBD data)</t>
  </si>
  <si>
    <t>Days since last review &gt; cycle</t>
  </si>
  <si>
    <t>days_since_last_meeting not provided</t>
  </si>
  <si>
    <t>TABLE-LD-HH-06</t>
  </si>
  <si>
    <t>Category: Data Not Available. Reviews Overdue - no client-review data in Insigneo.</t>
  </si>
  <si>
    <t>Household Detail Side Panel</t>
  </si>
  <si>
    <t>AUM, YTD Return, Vs Benchmark, Model Drift, Unrealized G/L, Cash Drag, Model Portfolio, Client Retention Risk (TBD), Review Status (TBD)</t>
  </si>
  <si>
    <t>On-row-click drilldown</t>
  </si>
  <si>
    <t>KPI-038</t>
  </si>
  <si>
    <t>WITH latest_snapshot AS (
    SELECT MAX(snapshot_date) AS max_snapshot_date
    FROM wealth_pulse_insigneo_model.gold.positions
),
/* Latest household AUM */
household_aum AS (
    SELECT
        h.house_hold_name,
        SUM(p.amount) AS aum
    FROM wealth_pulse_insigneo_model.gold.positions p
    JOIN wealth_pulse_insigneo_model.gold.household_details h
        ON p.financial_account_id = h.financial_account_id
    JOIN wealth_pulse_insigneo_model.gold.financial_account a
        ON p.financial_account_id = a.financial_account_id
    CROSS JOIN latest_snapshot l
    WHERE p.snapshot_date = l.max_snapshot_date
      AND a.account_status_indicator = 'O'
      AND a.is_active = 1
    GROUP BY
        h.house_hold_name
),
/* Beginning household AUM */
beginning_household_aum AS (
    SELECT
        h.house_hold_name,
        SUM(p.amount) AS beginning_aum
    FROM wealth_pulse_insigneo_model.gold.positions p
    JOIN wealth_pulse_insigneo_model.gold.household_details h
        ON p.financial_account_id = h.financial_account_id
    JOIN wealth_pulse_insigneo_model.gold.financial_account a
        ON p.financial_account_id = a.financial_account_id
    WHERE p.snapshot_date = (
        SELECT MAX(snapshot_date)
        FROM wealth_pulse_insigneo_model.gold.positions
        WHERE snapshot_date &lt; DATE_TRUNC(
            'year',
            (SELECT max_snapshot_date FROM latest_snapshot)
        )
    )
    AND a.account_status_indicator = 'O'
    AND a.is_active = 1
    GROUP BY
        h.house_hold_name
),
/* Household NNM YTD */
household_nna_ytd AS (
    SELECT
        h.house_hold_name,
        SUM(
            CASE
                WHEN t.transaction_code IN
                    ('CONTRIBUTION','TRANSFER_IN','RFF','CSR')
                THEN ABS(t.amount)
                ELSE 0
            END
        )
        -
        SUM(
            CASE
                WHEN t.transaction_code IN
                    ('DISTRIBUTION','TRANSFER_OUT','SFF','PCC')
                THEN ABS(t.amount)
                ELSE 0
            END
        ) AS nna_ytd
    FROM wealth_pulse_insigneo_model.gold.transactions t
    JOIN wealth_pulse_insigneo_model.gold.financial_account fa
        ON t.financial_account_id = fa.financial_account_id
    JOIN wealth_pulse_insigneo_model.gold.household_details h
        ON fa.financial_account_id = h.financial_account_id
    CROSS JOIN latest_snapshot l
    WHERE CAST(t.transaction_date AS DATE)
          BETWEEN DATE_TRUNC('year', l.max_snapshot_date)
          AND l.max_snapshot_date
          AND fa.account_status_indicator = 'O'
          AND fa.is_active = 1
    GROUP BY
        h.house_hold_name
),
/* Current Equity % at Account Level */
account_equity AS (
    SELECT
        ac.account_number,
        ac.financial_account_id,
        ac.total_equity AS equity_value,
        (
            COALESCE(p.amount,0)
            +
            COALESCE(ac.cash_available,0)
        ) AS total_value,
        CASE
            WHEN (
                COALESCE(p.amount,0)
                +
                COALESCE(ac.cash_available,0)
            ) = 0
            THEN NULL
            ELSE ac.total_equity * 100.0
            /
            (
                COALESCE(p.amount,0)
                +
                COALESCE(ac.cash_available,0)
            )
        END AS current_equity_pct
    FROM wealth_pulse_insigneo_model.gold.positions p
    JOIN wealth_pulse_insigneo_model.gold.account_summary ac
        ON p.financial_account_id = ac.financial_account_id
    JOIN wealth_pulse_insigneo_model.gold.financial_account a
        ON p.financial_account_id = a.financial_account_id
    CROSS JOIN latest_snapshot l
    WHERE p.snapshot_date = l.max_snapshot_date
      AND a.account_status_indicator = 'O'
      AND a.is_active = 1
),
/* Drift Per Account */
account_drift AS (
    SELECT
        h.house_hold_name,
        fa.investment_professional_number,
        ae.account_number,
        ae.current_equity_pct,
        dmp.target_equity_pct,
        (ae.current_equity_pct - dmp.target_equity_pct) AS drift_pct,
        ae.total_value
    FROM account_equity ae
    JOIN wealth_pulse_insigneo_model.gold.financial_account fa
        ON ae.financial_account_id = fa.financial_account_id
    JOIN wealth_pulse_insigneo_model.gold.household_details h
        ON h.financial_account_id = fa.financial_account_id
    JOIN wealth_pulse_insigneo_model.silver.account_model_mapping amm
        ON amm.account_number = ae.account_number
    JOIN wealth_pulse_insigneo_model.gold.dim_model_portfolio dmp
        ON dmp.model_id = amm.model_id
),
/* Household Drift */
household_drift AS (
    SELECT
        house_hold_name,
        SUM(drift_pct * total_value) / NULLIF(SUM(total_value),0) AS model_drift
    FROM account_drift
    GROUP BY
        house_hold_name
),
household_unrealized_gl AS (
    SELECT
        hd.house_hold_name,
        SUM(p.amount) - SUM(p.total_cost) AS unrealized_gl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CROSS JOIN latest_snapshot l
    WHERE p.snapshot_date = l.max_snapshot_date
      AND fa.account_status_indicator = 'O'
      AND fa.is_active = 1
    GROUP BY
        hd.house_hold_name
),
household_market_value AS (
    SELECT
        p.financial_account_id,
        SUM(p.amount) AS market_value
    FROM wealth_pulse_insigneo_model.gold.positions p
    CROSS JOIN latest_snapshot l
    WHERE p.snapshot_date = l.max_snapshot_date
    GROUP BY
        p.financial_account_id
),
account_cash AS (
    SELECT
        hd.house_hold_name,
        fa.investment_professional_number,
        a.financial_account_id,
        a.cash_available,
        mv.market_value,
        a.cash_available
        /
        NULLIF(mv.market_value,0) AS cash_pct
    FROM wealth_pulse_insigneo_model.gold.account_summary a
    JOIN household_market_value mv
        ON a.financial_account_id = mv.financial_account_id
    JOIN wealth_pulse_insigneo_model.gold.household_details hd
        ON a.financial_account_id = hd.financial_account_id
    JOIN wealth_pulse_insigneo_model.gold.financial_account fa
        ON a.financial_account_id = fa.financial_account_id
    WHERE fa.account_status_indicator='O'
      AND fa.is_active=1
),
household_cash_drag AS (
    SELECT
        house_hold_name,
        ROUND(
            (
                AVG(cash_pct) - 0.03
            )
            *
            (
                10 --10
                -
                4.5 --4.5
            )
            *10000,
            2
        ) AS cash_drag_bps
    FROM account_cash
    WHERE cash_pct &gt; 0.03
    GROUP BY
        house_hold_name
),
household_advisors AS (
SELECT
    hd.house_hold_name,
    STRING_AGG(
        DISTINCT fa.rep_id,
        ', '
    ) AS advisor_ids
FROM wealth_pulse_insigneo_model.gold.household_details hd
JOIN wealth_pulse_insigneo_model.gold.financial_account acc
    ON hd.financial_account_id = acc.financial_account_id
JOIN wealth_pulse_insigneo_model.gold.financial_advisor fa
    ON acc.investment_professional_number = fa.rep_id
WHERE acc.account_status_indicator='O'
  AND acc.is_active=1
  AND fa.is_active=1
GROUP BY
    hd.house_hold_name
),
client_segment AS (
    SELECT
        t.house_hold_name,
        CASE
            WHEN MAX(
                CASE
                    WHEN t.entity_name IS NOT NULL
                         AND TRIM(t.entity_name) &lt;&gt; ''
                    THEN 1
                    ELSE 0
                END
            ) = 1
                THEN 'Corporate'
            WHEN SUM(t.maximum_net_worth) &gt;= 10000000
                THEN 'UHNW'
            WHEN SUM(t.maximum_net_worth) &gt;= 1000000
                THEN 'HNW'
            WHEN SUM(t.maximum_net_worth) IS NOT NULL
                THEN 'Mass Affluent'
            WHEN SUM(t.maximum_annual_income) &gt;= 1000000
                THEN 'UHNW (Estimated)'
            WHEN SUM(t.maximum_annual_income) &gt;= 250000
                THEN 'HNW (Estimated)'
            ELSE 'Mass Affluent'
        END AS household_segment
    FROM (
        SELECT DISTINCT
            hd.house_hold_name,
            pa.person_account_id,
            pa.entity_name,
            pa.maximum_net_worth,
            pa.maximum_annual_income
        FROM wealth_pulse_insigneo_model.gold.positions p
        JOIN wealth_pulse_insigneo_model.gold.household_details hd
            ON p.financial_account_id = hd.financial_account_id
        JOIN wealth_pulse_insigneo_model.gold.person_financial_mapping pfm
            ON p.financial_account_id = pfm.financial_account_id
        JOIN wealth_pulse_insigneo_model.gold.person_account pa
            ON pfm.person_account_id = pa.person_account_id
        JOIN wealth_pulse_insigneo_model.gold.financial_account fa
            ON p.financial_account_id = fa.financial_account_id
        CROSS JOIN latest_snapshot l
        WHERE p.snapshot_date = l.max_snapshot_date
          AND fa.account_status_indicator = 'O'
          AND fa.is_active = 1
    ) t
    GROUP BY
        t.house_hold_name
),
/* Account level AUM and cash */
account_base AS (
    SELECT
        ac.financial_account_id,
        ac.account_number,
        h.house_hold_name,
        (
            COALESCE(p.amount,0)
            +
            COALESCE(ac.cash_available,0)
        ) AS account_aum,
        CASE
            WHEN (
                COALESCE(p.amount,0)
                +
                COALESCE(ac.cash_available,0)
            ) = 0
            THEN 0
            ELSE
                ac.cash_available * 100.0
                /
                (
                    COALESCE(p.amount,0)
                    +
                    COALESCE(ac.cash_available,0)
                )
        END AS cash_pct
    FROM wealth_pulse_insigneo_model.gold.positions p
    JOIN wealth_pulse_insigneo_model.gold.account_summary ac
        ON ac.financial_account_id = p.financial_account_id
    JOIN wealth_pulse_insigneo_model.gold.household_details h
        ON ac.financial_account_id = h.financial_account_id
    JOIN wealth_pulse_insigneo_model.gold.financial_account fa
    ON ac.financial_account_id = fa.financial_account_id
    CROSS JOIN latest_snapshot l
    WHERE p.snapshot_date = l.max_snapshot_date
        AND fa.account_status_indicator = 'O'
        AND fa.is_active = 1
),
/* Maximum security concentration per account */
account_concentration AS (
    SELECT
        p.financial_account_id,
        MAX(
            ABS(p.amount)
            *100.0
            /
            NULLIF(ab.account_aum,0)
        ) AS concentration_pct
    FROM wealth_pulse_insigneo_model.gold.positions p
    JOIN account_base ab
        ON p.financial_account_id = ab.financial_account_id
    JOIN wealth_pulse_insigneo_model.gold.financial_account fa
        ON p.financial_account_id = fa.financial_account_id
    CROSS JOIN latest_snapshot l
    WHERE p.snapshot_date = l.max_snapshot_date
          AND fa.account_status_indicator = 'O'
          AND fa.is_active = 1
    GROUP BY
        p.financial_account_id
),
/* Account model drift */
account_drift1 AS (
    SELECT
        ab.financial_account_id,
        ABS(
            (
                ac.total_equity * 100.0
                /
                NULLIF(
                    (
                        COALESCE(p.amount,0)
                        +
                        COALESCE(ac.cash_available,0)
                    ),
                    0
                )
            )
            -
            dmp.target_equity_pct
        ) AS drift_pct
    FROM wealth_pulse_insigneo_model.gold.positions p
    JOIN account_base ab
        ON p.financial_account_id = ab.financial_account_id
    JOIN wealth_pulse_insigneo_model.gold.account_summary ac
        ON ab.financial_account_id =
           ac.financial_account_id
    JOIN wealth_pulse_insigneo_model.silver.account_model_mapping amm
        ON ab.account_number =
           amm.account_number
    JOIN wealth_pulse_insigneo_model.gold.dim_model_portfolio dmp
        ON amm.model_id =
           dmp.model_id
    CROSS JOIN latest_snapshot l
    WHERE p.snapshot_date = l.max_snapshot_date
),
/* Household weighted risk metrics */
household_risk AS (
    SELECT
        ab.house_hold_name,
        /* Maximum concentration risk */
        MAX(
            COALESCE(cc.concentration_pct,0)
        ) AS concentration_risk,
        /* AUM weighted drift */
        SUM(
            COALESCE(ad.drift_pct,0)
            *
            ab.account_aum
        )
        /
        NULLIF(
            SUM(ab.account_aum),
            0
        ) AS drift_risk,
        /* AUM weighted cash */
        SUM(
            ab.cash_pct
            *
            ab.account_aum
        )
        /
        NULLIF(
            SUM(ab.account_aum),
            0
        ) AS cash_risk
    FROM account_base ab
    LEFT JOIN account_concentration cc
        ON ab.financial_account_id =
           cc.financial_account_id
    LEFT JOIN account_drift1 ad
        ON ab.financial_account_id =
           ad.financial_account_id
    GROUP BY
        ab.house_hold_name
),
/* Calculate household risk score */
household_score AS (
    SELECT
        house_hold_name,
        (
            (CASE
                WHEN concentration_risk &gt; 10
                THEN 100
                ELSE concentration_risk * 10
             END)
            +
            (CASE
                WHEN drift_risk &gt; 8
                THEN 100
                ELSE drift_risk * 12.5
             END)
            +
            (CASE
                WHEN cash_risk &gt; 10
                THEN 100
                ELSE cash_risk * 10
             END)
        ) / 3 AS risk_score
    FROM household_risk
),
household_alerts AS (
    SELECT
        hr.house_hold_name,
        CASE
            /* Critical */
            WHEN hr.concentration_risk &gt; 10
                 OR hr.drift_risk &gt; 8
            THEN CONCAT(
                    'CRITICAL - ',
                    CONCAT_WS(', ',
                        CASE
                            WHEN hr.concentration_risk &gt; 10
                            THEN 'Concentration &gt; 10%'
                        END,
                        CASE
                            WHEN hr.drift_risk &gt; 8
                            THEN 'Model Drift &gt; 8%'
                        END
                    )
                 )
            /* Warning */
            WHEN hr.drift_risk &gt; 4
                 OR hr.cash_risk &gt; 10
            THEN CONCAT(
                    'WARNING - ',
                    CONCAT_WS(', ',
                        CASE
                            WHEN hr.drift_risk &gt; 4
                            THEN 'Model Drift &gt; 4%'
                        END,
                        CASE
                            WHEN hr.cash_risk &gt; 10
                            THEN 'Cash &gt; 10%'
                        END
                    )
                 )
            /* Opportunity */
            WHEN ug.unrealized_gl &lt; -5000
            THEN 'OPPORTUNITY - Tax Loss Harvesting'
            ELSE 'NO ALERT'
        END AS risk_alert,
        CASE
            WHEN hr.concentration_risk &gt; 10
                 OR hr.drift_risk &gt; 8
            THEN 'CRITICAL'
            WHEN hr.drift_risk &gt; 4
                 OR hr.cash_risk &gt; 10
            THEN 'WARNING'
            WHEN ug.unrealized_gl &lt; -5000
            THEN 'OPPORTUNITY'
            ELSE 'NONE'
        END AS alert_severity
    FROM household_risk hr
    LEFT JOIN household_unrealized_gl ug
        ON hr.house_hold_name = ug.house_hold_name
),
household_risk_level AS (
    SELECT
        hr.house_hold_name,
        CASE
            WHEN hr.drift_risk &gt; 4
                 OR hr.concentration_risk &gt; 25
                 OR hr.cash_risk &gt; 15
            THEN 'high'
            WHEN hr.drift_risk &gt; 2
                 OR hr.cash_risk &gt; 10
            THEN 'medium'
            ELSE 'low'
        END AS risk_level
    FROM household_risk hr
)
SELECT
    ha.house_hold_name AS household,
    cs.household_segment,
    adv.advisor_ids,
    ha.aum,
    ((ha.aum - COALESCE(b.beginning_aum,0)) / NULLIF(b.beginning_aum,0)) * 100 AS ytd_return,
    NULL AS vs_benchmark,
    hd.model_drift,
    ROUND(COALESCE(cd.cash_drag_bps,0),2) AS cash_drag_bps,
    ROUND(COALESCE(ug.unrealized_gl,0),2) AS unrealized_gain_loss,
    ROUND(COALESCE(hs.risk_score,0),2) AS risk_score,
    ha1.alert_severity,
    ha1.risk_alert,
    rl.risk_level
FROM household_aum ha
LEFT JOIN household_advisors adv
    ON ha.house_hold_name = adv.house_hold_name
LEFT JOIN beginning_household_aum b
    ON ha.house_hold_name = b.house_hold_name
LEFT JOIN household_nna_ytd n
    ON ha.house_hold_name = n.house_hold_name
LEFT JOIN household_drift hd
    ON ha.house_hold_name = hd.house_hold_name
LEFT JOIN household_cash_drag cd
    ON ha.house_hold_name = cd.house_hold_name
LEFT JOIN household_unrealized_gl ug
    ON ha.house_hold_name = ug.house_hold_name
LEFT JOIN client_segment cs
    ON ha.house_hold_name = cs.house_hold_name
LEFT JOIN household_score hs
    ON ha.house_hold_name = hs.house_hold_name
LEFT JOIN household_alerts ha1
    ON ha.house_hold_name = ha1.house_hold_name
LEFT JOIN household_risk_level rl
    ON ha.house_hold_name = rl.house_hold_name
ORDER BY
    ha.aum DESC;</t>
  </si>
  <si>
    <t>Data Available/Calculation Required</t>
  </si>
  <si>
    <t>missing benchmark, model portfolio</t>
  </si>
  <si>
    <t>Category: Data Available/Calculation Required. Side panel needs Unrealized G/L, Model Drift, Retention Risk, Review Status - not in Insigneo. AUM/Cash Drag available.</t>
  </si>
  <si>
    <t>model drift is not available</t>
  </si>
  <si>
    <t>Total AUM</t>
  </si>
  <si>
    <t>Total AUM + quarterly growth %, target achievement %, progress bar</t>
  </si>
  <si>
    <t>SUM(market_value latest snapshot)</t>
  </si>
  <si>
    <t>SELECT SUM(p.amount) AS total_aum
FROM wealth_pulse_insigneo_model.gold.positions p
JOIN financial_account a ON p.financial_account_id = a.financial_account_id
WHERE p.snapshot_date = (
        SELECT MAX(snapshot_date)
        FROM wealth_pulse_insigneo_model.gold.positions
    )
  AND a.account_status_indicator = 'O'
  AND a.is_active = 1</t>
  </si>
  <si>
    <t>Category: Done. Total AUM updated in DB.</t>
  </si>
  <si>
    <t>Net New Assets (QTD)</t>
  </si>
  <si>
    <t>Quarterly inflow, organic growth %, goal status</t>
  </si>
  <si>
    <t>Contributions+TransfersIn - Withdrawals-TransfersOut</t>
  </si>
  <si>
    <t>WITH latest_snapshot AS (
    SELECT
        MAX(snapshot_date) AS end_date
    FROM wealth_pulse_insigneo_model.gold.positions
),
date_filter AS (
    SELECT
        end_date,
        DATE_SUB(end_date, @days_filter) AS start_date
    FROM latest_snapshot
)
SELECT
    ROUND(
        SUM(
            CASE
                WHEN t.transaction_code IN
                    ('CONTRIBUTION', 'TRANSFER_IN', 'RFF', 'CSR')
                THEN ABS(t.amount)
                ELSE 0
            END
        )
        -
        SUM(
            CASE
                WHEN t.transaction_code IN
                    ('DISTRIBUTION', 'TRANSFER_OUT', 'SFF', 'PCC')
                THEN ABS(t.amount)
                ELSE 0
            END
        ),
        2
    ) AS net_new_assets
FROM wealth_pulse_insigneo_model.gold.transactions t
JOIN wealth_pulse_insigneo_model.gold.financial_account fa
    ON t.financial_account_id = fa.financial_account_id
WHERE CAST(t.transaction_date AS DATE)
      BETWEEN (
            SELECT start_date
            FROM date_filter
      )
      AND (
            SELECT end_date
            FROM date_filter
      )
  AND fa.account_status_indicator = 'O'
  AND fa.is_active = 1;</t>
  </si>
  <si>
    <t>Category: Done. Net New Assets updated in DB.</t>
  </si>
  <si>
    <t>Idle Cash</t>
  </si>
  <si>
    <t>Idle cash amount, % of AUM, impacted households</t>
  </si>
  <si>
    <t>fact_cash_balance / AUM</t>
  </si>
  <si>
    <t>KPI-013</t>
  </si>
  <si>
    <t>WITH latest_snapshot AS (
    SELECT MAX(snapshot_date) AS max_snapshot_date
    FROM wealth_pulse_insigneo_model.gold.positions
),
position_mv AS (
    SELECT
        p.financial_account_id,
        SUM(p.amount) AS market_value
    FROM wealth_pulse_insigneo_model.gold.positions p
    JOIN wealth_pulse_insigneo_model.gold.financial_account a
        ON p.financial_account_id = a.financial_account_id
    CROSS JOIN latest_snapshot l
    WHERE p.snapshot_date = l.max_snapshot_date
      AND a.account_status_indicator = 'O'
      AND a.is_active = 1
    GROUP BY
        p.financial_account_id
),
account_cash AS (
    SELECT
        hd.house_hold_name,
        a.financial_account_id,
        mv.market_value,
        a.cash_available,
        a.cash_available / NULLIF(mv.market_value,0) AS cash_pct
    FROM wealth_pulse_insigneo_model.gold.account_summary a
    JOIN position_mv mv
        ON a.financial_account_id = mv.financial_account_id
    LEFT JOIN wealth_pulse_insigneo_model.gold.household_details hd
        ON a.financial_account_id = hd.financial_account_id
    JOIN wealth_pulse_insigneo_model.gold.financial_account fa
        ON a.financial_account_id = fa.financial_account_id
    WHERE fa.account_status_indicator = 'O'
      AND fa.is_active = 1
)
SELECT
 ROUND(SUM(cash_available),2) AS idle_cash
FROM account_cash
WHERE cash_pct &gt; 0.05</t>
  </si>
  <si>
    <t>Category: (with new derived table). Idle Cash via new derived table.</t>
  </si>
  <si>
    <t>Concentration Risk</t>
  </si>
  <si>
    <t>Accounts breaching limits, top security, severity</t>
  </si>
  <si>
    <t>Position value/portfolio &gt; 10%</t>
  </si>
  <si>
    <t>KPI-049</t>
  </si>
  <si>
    <t>WITH latest_snapshot AS (
    SELECT
        MAX(snapshot_date) AS snapshot_date
    FROM wealth_pulse_insigneo_model.gold.positions
),
account_positions AS (
    SELECT
        p.investment_professional_number,
        hd.house_hold_name,
        p.account_number,
        UPPER(
            COALESCE(
                NULLIF(TRIM(s.ticker), ''),
                NULLIF(TRIM(p.cusip), '')
            )
        ) AS ticker,
        MAX(s.asset_name) AS security_name,
        SUM(p.amount) AS market_value
    FROM wealth_pulse_insigneo_model.gold.positions p
    JOIN wealth_pulse_insigneo_model.gold.financial_account fa
        ON p.financial_account_id = fa.financial_account_id
    JOIN wealth_pulse_insigneo_model.gold.household_details hd
        ON p.financial_account_id = hd.financial_account_id
    LEFT JOIN wealth_pulse_insigneo_model.gold.securities s
        ON p.cusip = s.cusip
    WHERE p.snapshot_date = (
            SELECT snapshot_date
            FROM latest_snapshot
          )
      AND fa.account_status_indicator = 'O'
      AND fa.is_active = 1
    GROUP BY
        p.investment_professional_number,
        hd.house_hold_name,
        p.account_number,
        UPPER(
            COALESCE(
                NULLIF(TRIM(s.ticker), ''),
                NULLIF(TRIM(p.cusip), '')
            )
        )
),
account_total AS (
    SELECT
        investment_professional_number,
        house_hold_name,
        account_number,
        SUM(market_value) AS total_aum
    FROM account_positions
    GROUP BY
        investment_professional_number,
        house_hold_name,
        account_number
)
SELECT
    ap.investment_professional_number,
    ap.house_hold_name,
    ap.account_number,
    ap.ticker,
    ap.security_name,
    ROUND(
        ap.market_value * 100.0 /
        NULLIF(at.total_aum, 0),
        2
    ) AS pct_aum,
    ROUND(ap.market_value, 2) AS value
FROM account_positions ap
JOIN account_total at
    ON ap.investment_professional_number = at.investment_professional_number
   AND ap.house_hold_name = at.house_hold_name
   AND ap.account_number = at.account_number
ORDER BY
    ap.investment_professional_number,
    ap.house_hold_name,
    ap.account_number,
    pct_aum DESC;</t>
  </si>
  <si>
    <t>Category: Done. Concentration Risk updated in DB.</t>
  </si>
  <si>
    <t>Avg YTD Return</t>
  </si>
  <si>
    <t>AUM-weighted YTD return across households</t>
  </si>
  <si>
    <t>SUM(ytd_return×beg_value)/SUM(beg_value)</t>
  </si>
  <si>
    <t>household_details join with account_summary get AUM</t>
  </si>
  <si>
    <t>TABLE-LD-HH-02</t>
  </si>
  <si>
    <t>WITH latest_snapshot AS (
    SELECT MAX(snapshot_date) AS max_snapshot_date
    FROM wealth_pulse_insigneo_model.gold.positions
),
/* Latest Household AUM */
household_aum AS (
    SELECT
        h.house_hold_name,
        SUM(p.amount) AS aum
    FROM wealth_pulse_insigneo_model.gold.positions p
    JOIN wealth_pulse_insigneo_model.gold.household_details h
        ON p.financial_account_id = h.financial_account_id
    JOIN wealth_pulse_insigneo_model.gold.financial_account fa
        ON p.financial_account_id = fa.financial_account_id
    CROSS JOIN latest_snapshot l
    WHERE p.snapshot_date = l.max_snapshot_date
      AND fa.account_status_indicator = 'O'
      AND fa.is_active = 1
    GROUP BY
        h.house_hold_name
),
/* Beginning Household AUM */
beginning_household_aum AS (
    SELECT
        h.house_hold_name,
        SUM(p.amount) AS beginning_aum
    FROM wealth_pulse_insigneo_model.gold.positions p
    JOIN wealth_pulse_insigneo_model.gold.household_details h
        ON p.financial_account_id = h.financial_account_id
    JOIN wealth_pulse_insigneo_model.gold.financial_account fa
        ON p.financial_account_id = fa.financial_account_id
    WHERE p.snapshot_date = (
        SELECT MAX(snapshot_date)
        FROM wealth_pulse_insigneo_model.gold.positions
        WHERE snapshot_date &lt; DATE_TRUNC(
            'year',
            (SELECT max_snapshot_date FROM latest_snapshot)
        )
    )
      AND fa.account_status_indicator = 'O'
      AND fa.is_active = 1
    GROUP BY
        h.house_hold_name
),
/* Household YTD Return */
household_ytd_return AS (
    SELECT
        ha.house_hold_name,
        (
            (ha.aum - COALESCE(b.beginning_aum,0))
            / NULLIF(b.beginning_aum,0)
        ) * 100 AS ytd_return
    FROM household_aum ha
    LEFT JOIN beginning_household_aum b
        ON ha.house_hold_name = b.house_hold_name
)
SELECT
    ROUND(AVG(ytd_return), 2) AS avg_household_ytd_return_pct
FROM household_ytd_return
WHERE ytd_return IS NOT NULL;</t>
  </si>
  <si>
    <t>Category: Data Not Available. Avg YTD Return - no performance table in Insigneo.</t>
  </si>
  <si>
    <t>Household Detail Pages (4 tabs)</t>
  </si>
  <si>
    <t>Tab1: YTD Return</t>
  </si>
  <si>
    <t>Portfolio performance YTD</t>
  </si>
  <si>
    <t>fact_performance household level</t>
  </si>
  <si>
    <t>how to get the performance ? Already defined fact_performance table used</t>
  </si>
  <si>
    <t>WITH latest_snapshot AS (
    SELECT MAX(snapshot_date) AS max_snapshot_date
    FROM wealth_pulse_insigneo_model.gold.positions
),
current_household_aum AS (
    SELECT
        h.house_hold_name,
        SUM(p.amount) AS current_aum
    FROM wealth_pulse_insigneo_model.gold.positions p
    JOIN wealth_pulse_insigneo_model.gold.household_details h
        ON p.financial_account_id = h.financial_account_id
    JOIN wealth_pulse_insigneo_model.gold.financial_account a
        ON p.financial_account_id = a.financial_account_id
    CROSS JOIN latest_snapshot l
    WHERE p.snapshot_date = l.max_snapshot_date
      AND h.house_hold_name = :house_hold_name
      AND a.account_status_indicator = 'O'
      AND a.is_active = 1
    GROUP BY h.house_hold_name
),
beginning_household_aum AS (
    SELECT
        h.house_hold_name,
        SUM(p.amount) AS beginning_aum
    FROM wealth_pulse_insigneo_model.gold.positions p
    JOIN wealth_pulse_insigneo_model.gold.household_details h
        ON p.financial_account_id = h.financial_account_id
    JOIN wealth_pulse_insigneo_model.gold.financial_account a
        ON p.financial_account_id = a.financial_account_id
    CROSS JOIN latest_snapshot l
    WHERE p.snapshot_date = (
        SELECT MAX(snapshot_date)
        FROM wealth_pulse_insigneo_model.gold.positions
        WHERE snapshot_date &lt; DATE_TRUNC('year', l.max_snapshot_date)
    )
      AND h.house_hold_name = :house_hold_name
      AND a.account_status_indicator = 'O'
      AND a.is_active = 1
    GROUP BY h.house_hold_name
)
SELECT
    ((c.current_aum - b.beginning_aum) / NULLIF(b.beginning_aum, 0)) * 100 AS ytd_return_pct
FROM current_household_aum c
LEFT JOIN beginning_household_aum b
    ON c.house_hold_name = b.house_hold_name;</t>
  </si>
  <si>
    <t>Category: Data Not Available. YTD Return - no performance data in Insigneo.</t>
  </si>
  <si>
    <t>Risk Card - International Exposure %</t>
  </si>
  <si>
    <t>International allocation % vs target range</t>
  </si>
  <si>
    <t>intl_pct AUM-weighted</t>
  </si>
  <si>
    <t>How to identify the international stock, how can I classify it ? Add in sample data, in gold securities , country column</t>
  </si>
  <si>
    <t>KPI-037</t>
  </si>
  <si>
    <t>WITH latest_snapshot AS (
    SELECT
        MAX(snapshot_date) AS snapshot_date
    FROM wealth_pulse_insigneo_model.gold.positions
)
SELECT
    ROUND(
        SUM(
            CASE
                WHEN UPPER(TRIM(COALESCE(s.country, ''))) NOT IN
                (
                    'UNITED STATES',
                    'UNITED STATES OF AMERICA',
                    'USA',
                    'U.S.A.',
                    'US',
                    'U.S.'
                )
                THEN p.amount
                ELSE 0
            END
        ) * 100.0
        /
        NULLIF(SUM(p.amount), 0),
        2
    ) AS international_exposure_pct
FROM wealth_pulse_insigneo_model.gold.positions p
JOIN wealth_pulse_insigneo_model.gold.household_details hd
    ON p.financial_account_id = hd.financial_account_id
JOIN wealth_pulse_insigneo_model.gold.financial_account fa
    ON p.financial_account_id = fa.financial_account_id
JOIN wealth_pulse_insigneo_model.gold.securities s
    ON p.cusip = s.cusip
WHERE hd.house_hold_name = 'CYGNUS'
  AND p.snapshot_date = (
        SELECT snapshot_date
        FROM latest_snapshot
    )
  AND fa.account_status_indicator = 'O'
  AND fa.is_active = 1;</t>
  </si>
  <si>
    <t>Category: Data Available/Calculation Required. International Exposure - security country not in Insigneo.</t>
  </si>
  <si>
    <t>Section</t>
  </si>
  <si>
    <t>Tab2: Account Card + Subtotal + Cash</t>
  </si>
  <si>
    <t>Expandable account card, subtotal row, cash &amp; equivalents section</t>
  </si>
  <si>
    <t>dim_account + fact_cash_balance</t>
  </si>
  <si>
    <t>household-&gt;account-&gt;positions and securities with details(Ticker, Security, Name, Type, Asset Class, Shares, Price, Market Value, Cost Basis, UnrealizedG/L, %Acct, Holding)</t>
  </si>
  <si>
    <t>WITH latest_snapshot AS (
    SELECT
        MAX(snapshot_date) AS snapshot_date
    FROM wealth_pulse_insigneo_model.gold.positions
),
latest_positions AS (
    SELECT
        p.financial_account_id,
        p.account_number,
        p.cusip,
        p.quantity,
        p.price,
        p.amount,
        p.total_cost,
        p.account_type,
        p.snapshot_date
    FROM wealth_pulse_insigneo_model.gold.positions p
    WHERE p.snapshot_date = (
        SELECT snapshot_date
        FROM latest_snapshot
    )
)
SELECT
    hd.house_hold_name,
    lp.account_number,
    fa.account_short_name,
    s.ticker,
    s.asset_name AS security_name,
    lp.account_type AS type,
    s.asset_class,
    lp.quantity AS shares,
    lp.price,
    lp.amount AS market_value,
    lp.total_cost AS cost_basis,
    (lp.amount - lp.total_cost) AS unrealized_gl,
    ROUND(
        lp.amount * 100.0 /
        NULLIF(
            SUM(lp.amount) OVER (PARTITION BY lp.account_number),
            0
        ),
        2
    ) AS pct_acct,
    ROUND(
        lp.amount * 100.0 /
        NULLIF(
            SUM(lp.amount) OVER (PARTITION BY hd.house_hold_name),
            0
        ),
        2
    ) AS holding
FROM latest_positions lp
JOIN wealth_pulse_insigneo_model.gold.household_details hd
    ON lp.financial_account_id = hd.financial_account_id
JOIN wealth_pulse_insigneo_model.gold.financial_account fa
    ON lp.financial_account_id = fa.financial_account_id
LEFT JOIN wealth_pulse_insigneo_model.gold.securities s
    ON lp.cusip = s.cusip
WHERE hd.house_hold_name = 'AURORA'
  AND fa.account_status_indicator = 'O'
  AND fa.is_active = 1
ORDER BY
    lp.account_number,
    market_value DESC;</t>
  </si>
  <si>
    <t>Category: Data Not Available. Account subtotals - cost-basis/unrealized subtotals need data not in Insigneo; MV &amp; cash available.</t>
  </si>
  <si>
    <t>Morning Briefing Panel</t>
  </si>
  <si>
    <t>AI/rules daily insights (growth, risk, idle cash, tax) - expandable cards</t>
  </si>
  <si>
    <t>Stage-1 agent insights</t>
  </si>
  <si>
    <t>KPI-043</t>
  </si>
  <si>
    <t>Category: Data Available/Calculation Required. Morning Briefing - insights framework; tax-harvest calc-derivable, some risk insights blocked.</t>
  </si>
  <si>
    <t>Priority Actions Panel</t>
  </si>
  <si>
    <t>Ranked advisor actions with severity + deep-link (see US 16010)</t>
  </si>
  <si>
    <t>Insights / Stage-2 agents</t>
  </si>
  <si>
    <t>Framework</t>
  </si>
  <si>
    <t>Category: -. Priority Actions - Stage-2 agent framework, not data-driven yet.</t>
  </si>
  <si>
    <t>Market News (Placeholder)</t>
  </si>
  <si>
    <t>Reserved 'Coming Soon' market news container</t>
  </si>
  <si>
    <t>Placeholder</t>
  </si>
  <si>
    <t>Category: -. Market News placeholder.</t>
  </si>
  <si>
    <t>Portfolio Intelligence (Placeholder)</t>
  </si>
  <si>
    <t>Future real-time market signal panel (Epic 26 / Stage 2)</t>
  </si>
  <si>
    <t>Placeholder (US 16011)</t>
  </si>
  <si>
    <t>Category: -. Portfolio Intelligence placeholder (Stage-2 / Epic 26).</t>
  </si>
  <si>
    <t>Table</t>
  </si>
  <si>
    <t>Households Needing Attention</t>
  </si>
  <si>
    <t>Household, AUM, issue summary, urgency (High/Med/Low); flag rules idle cash/concentration/attrition/drift</t>
  </si>
  <si>
    <t>fact_position/cash/client_360 flag logic</t>
  </si>
  <si>
    <t>KPI-050</t>
  </si>
  <si>
    <t>Category: (with new derived table). Households Needing Attention - concentration &amp; idle-cash flags available (derived); model-drift &amp; engagement-gap flags blocked.</t>
  </si>
  <si>
    <t>Drift can't be achieved</t>
  </si>
  <si>
    <t>AUM Trend Analytics</t>
  </si>
  <si>
    <t>Monthly AUM line chart, 3M/6M/12M filters</t>
  </si>
  <si>
    <t>Monthly SUM(market_value)</t>
  </si>
  <si>
    <t>CHART-005</t>
  </si>
  <si>
    <t>SELECT
    DATEFROMPARTS(YEAR(fp.snapshot_date), MONTH(fp.snapshot_date), 1) AS [month],
    SUM(ABS(fp.amount)) AS aum
FROM positions fp
WHERE fp.investment_professional_number = 'N04'
    -- AND CAST(fp.snapshot_date AS DATE) = EOMONTH(fp.snapshot_date)
    AND CAST(fp.snapshot_date AS DATE) &gt;= DATEADD(
        MONTH,
        -5,
        DATEFROMPARTS(YEAR(GETDATE()), MONTH(GETDATE()), 1)
    )
GROUP BY
    DATEFROMPARTS(YEAR(fp.snapshot_date), MONTH(fp.snapshot_date), 1)
ORDER BY
    [month];</t>
  </si>
  <si>
    <t>Category: Done. 6-month AUM trend; validate vs Insigneo (flagged 'Doubt').</t>
  </si>
  <si>
    <t>Advisor Performance Table</t>
  </si>
  <si>
    <t>Cols: Advisor, AUM, NNA (QTD), Growth, Retention, HH, Revenue, Rank + underperformer alert row</t>
  </si>
  <si>
    <t>fact_position/transaction/billing_event + dim_advisor</t>
  </si>
  <si>
    <t>limited details - household-&gt;account_summary</t>
  </si>
  <si>
    <t>CHART-004</t>
  </si>
  <si>
    <t>WITH latest_snapshot AS (
    SELECT
        MAX(snapshot_date) AS max_snapshot_date
    FROM wealth_pulse_insigneo_model.gold.positions
),
aum AS (
    SELECT
        p.investment_professional_number,
        SUM(p.amount) AS total_aum
    FROM wealth_pulse_insigneo_model.gold.positions p
    JOIN wealth_pulse_insigneo_model.gold.financial_account fa
        ON p.financial_account_id = fa.financial_account_id
    WHERE p.snapshot_date = (
        SELECT max_snapshot_date
        FROM latest_snapshot
    )
      AND fa.account_status_indicator = 'O'
      AND fa.is_active = 1
    GROUP BY p.investment_professional_number
),
nna_qtd AS (
    SELECT
        fa.investment_professional_number,
        SUM(
            CASE
                WHEN t.transaction_code IN
                (
                    'CONTRIBUTION',
                    'TRANSFER_IN',
                    'RFF',
                    'CSR'
                )
                THEN ABS(t.amount)
                ELSE 0
            END
        )
        -
        SUM(
            CASE
                WHEN t.transaction_code IN
                (
                    'DISTRIBUTION',
                    'TRANSFER_OUT',
                    'SFF',
                    'PCC'
                )
                THEN ABS(t.amount)
                ELSE 0
            END
        ) AS nna_qtd
    FROM wealth_pulse_insigneo_model.gold.transactions t
    INNER JOIN wealth_pulse_insigneo_model.gold.financial_account fa
        ON t.financial_account_id = fa.financial_account_id
    CROSS JOIN latest_snapshot ls
    WHERE CAST(t.transaction_date AS DATE)
          BETWEEN DATE_TRUNC('quarter', ls.max_snapshot_date)
              AND ls.max_snapshot_date
      AND fa.account_status_indicator = 'O'
      AND fa.is_active = 1
    GROUP BY
        fa.investment_professional_number
),
beg_aum AS (
    SELECT
        p.investment_professional_number,
        SUM(p.amount) AS beg_aum
    FROM wealth_pulse_insigneo_model.gold.positions p
    JOIN wealth_pulse_insigneo_model.gold.financial_account fa
        ON p.financial_account_id = fa.financial_account_id
    CROSS JOIN latest_snapshot ls
    WHERE p.snapshot_date = (
        SELECT
            MAX(snapshot_date)
        FROM wealth_pulse_insigneo_model.gold.positions
        WHERE snapshot_date &lt;
              DATE_TRUNC('year', ls.max_snapshot_date)
    )
      AND fa.account_status_indicator = 'O'
      AND fa.is_active = 1
    GROUP BY
        p.investment_professional_number
),
households AS (
    SELECT
        fa.investment_professional_number,
        COUNT(DISTINCT hd.house_hold_name) AS household_count,
        ROUND(
            COUNT(
                DISTINCT CASE
                    WHEN fa.account_status_indicator='O'
                    THEN fa.financial_account_id
                END
            )
            *100.0
            /
            NULLIF(
                COUNT(DISTINCT fa.financial_account_id),
                0
            ),
            2
        ) AS retention_pct
    FROM wealth_pulse_insigneo_model.gold.financial_account fa
    LEFT JOIN wealth_pulse_insigneo_model.gold.household_details hd
        ON fa.financial_account_id = hd.financial_account_id
    WHERE fa.is_active=1
    GROUP BY
        fa.investment_professional_number
),
revenue AS (
    SELECT
        investment_professional_number,
        SUM(gross_comm) AS est_revenue
    FROM wealth_pulse_insigneo_model.gold.fa_commission
    CROSS JOIN latest_snapshot ls
    WHERE broker_month &gt;= DATE_TRUNC('year', ls.max_snapshot_date)
      AND broker_month &lt;= ls.max_snapshot_date
    GROUP BY
        investment_professional_number
)
SELECT
    adv.rep_id AS investment_professional_number,
    adv.record_assigned_name,
    ROUND(COALESCE(a.total_aum,0),2) AS aum,
    ROUND(COALESCE(n.nna_qtd,0),2) AS nna_qtd,
    ROUND(
        COALESCE(n.nna_qtd,0)
        /
        NULLIF(b.beg_aum,0)
        *100,
    2) AS growth_pct,
    COALESCE(h.retention_pct,0) AS retention_pct,
    COALESCE(h.household_count,0) AS households,
    ROUND(COALESCE(r.est_revenue,0),2) AS revenue,
    DENSE_RANK() OVER(
        ORDER BY COALESCE(a.total_aum,0) DESC
    ) AS advisor_rank
FROM wealth_pulse_insigneo_model.gold.financial_advisor adv
LEFT JOIN aum a
    ON adv.rep_id = a.investment_professional_number
LEFT JOIN nna_qtd n
    ON adv.rep_id = n.investment_professional_number
LEFT JOIN beg_aum b
    ON adv.rep_id = b.investment_professional_number
LEFT JOIN households h
    ON adv.rep_id = h.investment_professional_number
LEFT JOIN revenue r
    ON adv.rep_id = r.investment_professional_number
ORDER BY
    advisor_rank;</t>
  </si>
  <si>
    <t>Category: Data Not Available. Advisor Performance leaderboard flagged data-gap; core columns come from Done KPIs.</t>
  </si>
  <si>
    <t>Total AUM aggregated across all households</t>
  </si>
  <si>
    <t>SUM(dim_household.total_aum)</t>
  </si>
  <si>
    <t>Count of households for advisor</t>
  </si>
  <si>
    <t>COUNT(household_id)</t>
  </si>
  <si>
    <t>Advisor Comparison Table</t>
  </si>
  <si>
    <t>Cols: Advisor, AUM, Households, YTD Growth, Vs Benchmark, NNM YTD, NNM Goal %, Revenue, Retention, Satisfaction, Risk Score</t>
  </si>
  <si>
    <t>KPI-009/016/020/047/058 + derived</t>
  </si>
  <si>
    <t>CHART-022</t>
  </si>
  <si>
    <t>WITH latest_snapshot AS (
    SELECT MAX(snapshot_date) AS max_snapshot_date
    FROM wealth_pulse_insigneo_model.gold.positions
),
aum AS (
    SELECT
        p.investment_professional_number,
        SUM(p.amount) AS aum
    FROM wealth_pulse_insigneo_model.gold.positions p
    JOIN wealth_pulse_insigneo_model.gold.financial_account fa
        ON p.financial_account_id = fa.financial_account_id
    WHERE p.snapshot_date = (SELECT max_snapshot_date FROM latest_snapshot)
    AND fa.account_status_indicator = 'O'
    AND fa.is_active = 1
    GROUP BY p.investment_professional_number
),
beginning_aum AS (
    SELECT
        p.investment_professional_number,
        SUM(p.amount) AS beginning_aum
    FROM wealth_pulse_insigneo_model.gold.positions p
    JOIN wealth_pulse_insigneo_model.gold.financial_account fa
        ON p.financial_account_id = fa.financial_account_id
    WHERE p.snapshot_date = (
        SELECT MAX(snapshot_date)
        FROM wealth_pulse_insigneo_model.gold.positions
        WHERE snapshot_date &lt; DATE_TRUNC(
            'year',
            (SELECT max_snapshot_date FROM latest_snapshot)
        )
    )
    AND fa.account_status_indicator = 'O'
    AND fa.is_active = 1
    GROUP BY p.investment_professional_number
),
nnm_ytd AS (
    SELECT
        fa.investment_professional_number,
        SUM(
            CASE
                WHEN t.transaction_code IN 
                    ('CONTRIBUTION','TRANSFER_IN','RFF','CSR')
                THEN ABS(t.amount)
                ELSE 0
            END
        )
        -
        SUM(
            CASE
                WHEN t.transaction_code IN 
                    ('DISTRIBUTION','TRANSFER_OUT','SFF','PCC')
                THEN ABS(t.amount)
                ELSE 0
            END
        ) AS nnm_ytd
    FROM wealth_pulse_insigneo_model.gold.transactions t
    JOIN wealth_pulse_insigneo_model.gold.financial_account fa
        ON t.financial_account_id = fa.financial_account_id
    CROSS JOIN latest_snapshot l
    WHERE (CAST(t.transaction_date AS DATE)
          BETWEEN DATE_TRUNC('year', l.max_snapshot_date)
          AND l.max_snapshot_date)
         AND fa.account_status_indicator='O'
         AND fa.is_active=1
    GROUP BY fa.investment_professional_number
),
households AS (
    SELECT
        f.investment_professional_number,
        COUNT(DISTINCT h.house_hold_name) AS households
    FROM wealth_pulse_insigneo_model.gold.household_details h
    JOIN wealth_pulse_insigneo_model.gold.financial_account f
        ON h.financial_account_id = f.financial_account_id
    WHERE f.account_status_indicator='O'
          AND f.is_active=1
    GROUP BY f.investment_professional_number
),
revenue AS (
    SELECT
        fc.investment_professional_number,
        SUM(fc.gross_comm) AS revenue
    FROM wealth_pulse_insigneo_model.gold.fa_commission fc
    JOIN wealth_pulse_insigneo_model.gold.financial_account f
        ON fc.financial_account_id = f.financial_account_id
    CROSS JOIN latest_snapshot l
    WHERE fc.broker_month &gt;= DATE_TRUNC('year', l.max_snapshot_date)
        AND f.account_status_indicator='O'
        AND f.is_active=1
    GROUP BY fc.investment_professional_number
),
retention AS (
    SELECT
        f.investment_professional_number,
        COUNT(DISTINCT CASE
            WHEN f.account_status_indicator = 'O'
            THEN f.financial_account_id
        END)
        /
        NULLIF(COUNT(DISTINCT f.financial_account_id),0)
        * 100 AS retention_pct
    FROM wealth_pulse_insigneo_model.gold.financial_account f
    GROUP BY f.investment_professional_number
)
SELECT
    fa.rep_id,
    a.aum,
    COALESCE(h.households,0) AS households,
    (
        (a.aum 
        - COALESCE(b.beginning_aum,0)
        - COALESCE(n.nnm_ytd,0))
        /
        NULLIF(b.beginning_aum,0)
    ) * 100 AS ytd_growth,
    NULL AS vs_benchmark,
    COALESCE(n.nnm_ytd,0) AS nnm_ytd,
    NULL AS nnm_goal_pct,
    COALESCE(r.revenue,0) AS revenue,
    COALESCE(rt.retention_pct,0) AS retention
FROM wealth_pulse_insigneo_model.gold.financial_advisor fa
LEFT JOIN aum a
    ON a.investment_professional_number =
       fa.rep_id
LEFT JOIN beginning_aum b
    ON a.investment_professional_number =
       b.investment_professional_number
LEFT JOIN nnm_ytd n
    ON a.investment_professional_number =
       n.investment_professional_number
LEFT JOIN households h
    ON a.investment_professional_number =
       h.investment_professional_number
LEFT JOIN revenue r
    ON a.investment_professional_number =
       r.investment_professional_number
LEFT JOIN retention rt
    ON a.investment_professional_number =
       rt.investment_professional_number
ORDER BY a.aum DESC;</t>
  </si>
  <si>
    <t>Category: Data Not Available. Advisor Comparison table flagged data-gap; blocked columns: Vs-Benchmark (alpha), Satisfaction, Overdue Reviews. Other columns from Done KPIs.</t>
  </si>
  <si>
    <t>Household Intelligence Table</t>
  </si>
  <si>
    <t>Cols: Household, Advisor, AUM, YTD Return, Vs Benchmark, Model Drift, Risk, Last Review (TBD)</t>
  </si>
  <si>
    <t>fact_position/performance + dim_household</t>
  </si>
  <si>
    <t>CHART-024</t>
  </si>
  <si>
    <t>Category: Data Not Available. Household Insights table flagged data-gap; blocked columns: YTD Return, Vs Benchmark, Model Drift, Risk, Last Review, Open Alerts.</t>
  </si>
  <si>
    <t>Asset Allocation Overview</t>
  </si>
  <si>
    <t>Allocation across Equity / Fixed Income / Cash / Other</t>
  </si>
  <si>
    <t>portfolio/holdings data</t>
  </si>
  <si>
    <t>CHART-018</t>
  </si>
  <si>
    <t>Category: Data Available/Calculation Required. Asset Allocation Overview - derivable/calc required in DB.</t>
  </si>
  <si>
    <t>Search / Segment / Status Filters + Sort</t>
  </si>
  <si>
    <t>Search (household/client/account); Segment (All/Mass Affluent/HNW/UHNW); Status (All/Active/At Risk/New); Sort (AUM/Name/YTD/Cash%)</t>
  </si>
  <si>
    <t>Category: -. Search/status/sort is UI; Segment filter &amp; YTD sort depend on blocked data.</t>
  </si>
  <si>
    <t>Household Listing Table</t>
  </si>
  <si>
    <t>Cols: Household, Primary client, Segment badge, AUM, # Accounts, Cash %, YTD %, Custodian badges, Status, Start date</t>
  </si>
  <si>
    <t>dim_household + portfolio metrics</t>
  </si>
  <si>
    <t>TABLE-ADV-HH-03</t>
  </si>
  <si>
    <t xml:space="preserve">WITH latest_snapshot AS (
    SELECT
        MAX(snapshot_date) AS snapshot_date
    FROM wealth_pulse_insigneo_model.gold.positions
),
beginning_snapshot AS (
    SELECT
        MAX(snapshot_date) AS snapshot_date
    FROM wealth_pulse_insigneo_model.gold.positions
    WHERE snapshot_date &lt; (
        SELECT DATE_TRUNC('year', snapshot_date)
        FROM latest_snapshot
    )
),
client_segment AS(
    SELECT
        t.house_hold_name,
        CASE
            WHEN MAX(
                CASE
                    WHEN t.entity_name IS NOT NULL
                         AND TRIM(t.entity_name) &lt;&gt; ''
                    THEN 1
                    ELSE 0
                END
            ) = 1
                THEN 'Corporate'
            WHEN SUM(t.maximum_net_worth) &gt;= 10000000
                THEN 'UHNW'
            WHEN SUM(t.maximum_net_worth) &gt;= 1000000
                THEN 'HNW'
            WHEN SUM(t.maximum_net_worth) IS NOT NULL
                THEN 'Mass Affluent'
            WHEN SUM(t.maximum_annual_income) &gt;= 1000000
                THEN 'UHNW (Estimated)'
            WHEN SUM(t.maximum_annual_income) &gt;= 250000
                THEN 'HNW (Estimated)'
            ELSE 'Mass Affluent'
        END AS client_segment
    FROM (
        SELECT DISTINCT
            hd.house_hold_name,
            pa.person_account_id,
            pa.entity_name,
            pa.maximum_net_worth,
            pa.maximum_annual_income
        FROM wealth_pulse_insigneo_model.gold.positions p
        JOIN wealth_pulse_insigneo_model.gold.household_details hd
            ON p.financial_account_id = hd.financial_account_id
        JOIN wealth_pulse_insigneo_model.gold.person_financial_mapping pfm
            ON p.financial_account_id = pfm.financial_account_id
        JOIN wealth_pulse_insigneo_model.gold.person_account pa
            ON pfm.person_account_id = pa.person_account_id
        WHERE p.snapshot_date = (
            SELECT snapshot_date
            FROM latest_snapshot
        )
    ) t
    GROUP BY
        t.house_hold_name
),
beginning_household_aum AS (
    SELECT
        hd.house_hold_name,
        SUM(p.amount) AS beginning_aum
    FROM wealth_pulse_insigneo_model.gold.positions p
    JOIN wealth_pulse_insigneo_model.gold.household_details hd
        ON p.financial_account_id = hd.financial_account_id
    JOIN wealth_pulse_insigneo_model.gold.financial_account fa
        ON fa.financial_account_id = p.financial_account_id
    WHERE p.snapshot_date = (
        SELECT snapshot_date
        FROM beginning_snapshot
    )
        AND fa.account_status_indicator = 'O'
        AND fa.is_active = 1
    GROUP BY hd.house_hold_name
),
current_household_aum AS (
    SELECT
        hd.house_hold_name,
        SUM(p.amount) AS current_aum
    FROM wealth_pulse_insigneo_model.gold.positions p
    JOIN wealth_pulse_insigneo_model.gold.household_details hd
        ON p.financial_account_id = hd.financial_account_id
    JOIN wealth_pulse_insigneo_model.gold.financial_account fa
        ON fa.financial_account_id = p.financial_account_id
    WHERE p.snapshot_date = (
        SELECT snapshot_date
        FROM latest_snapshot
    )
        AND fa.account_status_indicator = 'O'
        AND fa.is_active = 1
    GROUP BY hd.house_hold_name
),
ytd_cte AS (
    SELECT
        c.house_hold_name,
        c.current_aum,
        b.beginning_aum,
        ROUND(
            (
                c.current_aum - b.beginning_aum
            ) * 100.0
            / NULLIF(b.beginning_aum,0),
            2
        ) AS ytd
    FROM current_household_aum c
    JOIN beginning_household_aum b
        ON c.house_hold_name = b.house_hold_name
),
household_cash AS (
    SELECT
        hd.house_hold_name,
        SUM(ac.cash_available) AS cash_available,
        COUNT(DISTINCT hd.account_number) AS accounts,
        MIN(fa.date_account_opened) AS since,
        STRING_AGG(DISTINCT p.custodian, ', ') AS custodians,
        CASE
            WHEN COUNT(CASE WHEN fa.account_status_indicator &lt;&gt; 'O' THEN 1 END)=0
            THEN 'Open'
            ELSE 'Mixed'
        END AS status
    FROM wealth_pulse_insigneo_model.gold.positions p
    JOIN wealth_pulse_insigneo_model.gold.household_details hd
        ON p.financial_account_id = hd.financial_account_id
    LEFT JOIN wealth_pulse_insigneo_model.gold.account_summary ac
        ON p.financial_account_id = ac.financial_account_id
    JOIN wealth_pulse_insigneo_model.gold.financial_account fa
        ON p.financial_account_id = fa.financial_account_id
    WHERE p.snapshot_date = (
        SELECT snapshot_date
        FROM latest_snapshot
    )
    GROUP BY
        hd.house_hold_name
) 
-- SELECT * from household_cash
SELECT
    y.house_hold_name AS household,
    NULL AS segment,
    y.beginning_aum,
    y.current_aum AS aum,
    ac.accounts,
    ac.custodians,
    ROUND(
        ac.cash_available
        / NULLIF(y.current_aum,0)
        *100,
        2
    ) AS cash_pct,
    y.ytd,
    ac.status,
    ac.since
FROM ytd_cte y
-- LEFT JOIN client_segment cs
--     ON y.house_hold_name = y.house_hold_name
INNER JOIN household_cash ac
    ON y.house_hold_name = ac.house_hold_name
 </t>
  </si>
  <si>
    <t>Category: Data Not Available. Household Listing works for AUM/Accounts/Cash%/Custodian/Status; YTD Return % &amp; Segment columns blocked.</t>
  </si>
  <si>
    <t>Tab1: Total AUM</t>
  </si>
  <si>
    <t>Sum of market value across household accounts</t>
  </si>
  <si>
    <t>fact_position via dim_account.household_id</t>
  </si>
  <si>
    <t>Tab1: Cash Position</t>
  </si>
  <si>
    <t>Liquid cash &amp; % of portfolio</t>
  </si>
  <si>
    <t>fact_cash_balance + fact_position (KPI-011)</t>
  </si>
  <si>
    <t>KPI-011</t>
  </si>
  <si>
    <t>Category: (with new derived table). Cash Position via new derived table.</t>
  </si>
  <si>
    <t>Tab1: Account Summary Table</t>
  </si>
  <si>
    <t>Cols: Account Name, Custodian, Registration, AUM, Model, Cash %, Status</t>
  </si>
  <si>
    <t>dim_account + fact_position</t>
  </si>
  <si>
    <t>TABLE-ADV-ACCT-01</t>
  </si>
  <si>
    <t>WITH latest_snapshot AS (
    SELECT MAX(snapshot_date) AS snapshot_date
    FROM wealth_pulse_insigneo_model.gold.positions
),
account_aum AS (
    SELECT
        hd.house_hold_name,
        hd.account_number,
        p.financial_account_id,
        SUM(p.amount) AS aum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WHERE p.snapshot_date = (
        SELECT snapshot_date
        FROM latest_snapshot
    )
      AND fa.account_status_indicator = 'O'
      AND fa.is_active = 1
      AND hd.house_hold_name = 'CYGNUS'
    GROUP BY
        hd.house_hold_name,
        hd.account_number,
        p.financial_account_id
)
SELECT
    aa.house_hold_name,
    aa.account_number,
    MAX(fa.account_short_name) AS account_name,
    MAX(aa.aum) AS aum,
    COUNT(DISTINCT p.custodian) AS custodians,
    STRING_AGG(DISTINCT fa.registration_type, ', ') AS registration,
    STRING_AGG(
        DISTINCT COALESCE(mp.model_name, 'No Model Assigned'),
        ', '
    ) AS model,
    MAX(COALESCE(ac.cash_available, 0)) AS available,
    ROUND(
        MAX(COALESCE(ac.cash_available, 0))
        * 100.0
        / NULLIF(MAX(aa.aum), 0),
        2
    ) AS cash_pct,
    CASE
        WHEN MAX(fa.account_status_indicator) = 'O' THEN 'Open'
        WHEN MAX(fa.account_status_indicator) = 'C' THEN 'Closed'
        ELSE MAX(fa.account_status_indicator)
    END AS status
FROM account_aum aa
JOIN wealth_pulse_insigneo_model.gold.financial_account fa
    ON aa.financial_account_id = fa.financial_account_id
JOIN wealth_pulse_insigneo_model.gold.positions p
    ON aa.financial_account_id = p.financial_account_id
   AND p.snapshot_date = (
        SELECT snapshot_date
        FROM latest_snapshot
   )
LEFT JOIN wealth_pulse_insigneo_model.gold.account_summary ac
    ON aa.financial_account_id = ac.financial_account_id
LEFT JOIN wealth_pulse_insigneo_model.silver.account_model_mapping mam
    ON aa.account_number = mam.account_number
LEFT JOIN wealth_pulse_insigneo_model.gold.dim_model_portfolio mp
    ON mam.model_id = mp.model_id
GROUP BY
    aa.house_hold_name,
    aa.account_number
ORDER BY
    aa.account_number;</t>
  </si>
  <si>
    <t>Category: Data Not Available. Account Summary works for Custodian/Registration/Status; Account AUM, Cash Balance, Cash %, Model columns blocked.</t>
  </si>
  <si>
    <t>Tab1: Accounts</t>
  </si>
  <si>
    <t>Count of active accounts linked to household</t>
  </si>
  <si>
    <t>COUNT dim_account (ACTIVE)</t>
  </si>
  <si>
    <t>KPI-007</t>
  </si>
  <si>
    <t>SELECT COUNT(DISTINCT financial_account_id) AS account_count
FROM financial_account
WHERE is_active = 1 AND account_status_indicator = 'O'</t>
  </si>
  <si>
    <t>Category: Done. Accounts count updated in DB.</t>
  </si>
  <si>
    <t>Tab1: Asset Allocation Donut</t>
  </si>
  <si>
    <t>Distribution across asset classes</t>
  </si>
  <si>
    <t>fact_position.asset_class grouped</t>
  </si>
  <si>
    <t>Category: Data Available/Calculation Required. Asset Allocation Donut - derivable/calc required in DB.</t>
  </si>
  <si>
    <t>Performance Summary (CHART-011)</t>
  </si>
  <si>
    <t>Total Return, Benchmark Return, Alpha across MTD/QTD/YTD/1Y; negative alpha red</t>
  </si>
  <si>
    <t>fact_performance + Yahoo Finance</t>
  </si>
  <si>
    <t>fact_performance, benchmark return by API, partial (calulation is not performed) /  expected from the source side.</t>
  </si>
  <si>
    <t>CHART-011</t>
  </si>
  <si>
    <t>WITH latest_snapshot AS (
    SELECT
        MAX(snapshot_date) AS snapshot_date
    FROM wealth_pulse_insigneo_model.gold.positions
),
account_market_value AS (
    SELECT
        account_number,
        SUM(ABS(amount)) AS market_value
    FROM wealth_pulse_insigneo_model.gold.positions
    WHERE snapshot_date = (
        SELECT snapshot_date
        FROM latest_snapshot
    )
    GROUP BY
        account_number
),
performance_summary AS (
    SELECT
        fp.period_type,
        SUM(fp.twr_return * amv.market_value)
            / NULLIF(SUM(amv.market_value),0) AS twr_return,
        SUM(fp.benchmark_return * amv.market_value)
            / NULLIF(SUM(amv.market_value),0) AS benchmark_return,
        SUM(fp.alpha * amv.market_value)
            / NULLIF(SUM(amv.market_value),0) AS alpha
    FROM wealth_pulse_insigneo_model.gold.fact_performance fp
    INNER JOIN account_market_value amv
        ON fp.account_number = amv.account_number
    WHERE fp.period_end_date = (
        SELECT snapshot_date
        FROM latest_snapshot
    )
      AND fp.period_type IN ('MTD','QTD','YTD','1YR')
    GROUP BY
        fp.period_type
)
SELECT
    'Total Return' AS Metric,
    MAX(CASE WHEN period_type='MTD' THEN twr_return END) AS `1 Month`,
    MAX(CASE WHEN period_type='QTD' THEN twr_return END) AS `3 Month`,
    MAX(CASE WHEN period_type='YTD' THEN twr_return END) AS `YTD`,
    MAX(CASE WHEN period_type='1YR' THEN twr_return END) AS `1 Year`
FROM performance_summary
UNION ALL
SELECT
    'S&amp;P 500 (Benchmark)',
    MAX(CASE WHEN period_type='MTD' THEN benchmark_return END),
    MAX(CASE WHEN period_type='QTD' THEN benchmark_return END),
    MAX(CASE WHEN period_type='YTD' THEN benchmark_return END),
    MAX(CASE WHEN period_type='1YR' THEN benchmark_return END)
FROM performance_summary
UNION ALL
SELECT
    'Alpha',
    MAX(CASE WHEN period_type='MTD' THEN alpha END),
    MAX(CASE WHEN period_type='QTD' THEN alpha END),
    MAX(CASE WHEN period_type='YTD' THEN alpha END),
    MAX(CASE WHEN period_type='1YR' THEN alpha END)
FROM performance_summary;</t>
  </si>
  <si>
    <t>Category: Data Available/Calculation Required. Performance Summary - calc/derivation required; confirm TWR/Alpha/Sharpe source with Aman.</t>
  </si>
  <si>
    <t>Tab2: Position Table</t>
  </si>
  <si>
    <t>Cols: Ticker, Security Name, Type, Asset Class, Shares, Price, Market Value, Cost Basis, Unrealized G/L, % of Account, Holding</t>
  </si>
  <si>
    <t>fact_position + dim_security</t>
  </si>
  <si>
    <t>TABLE-ADV-PORT-03</t>
  </si>
  <si>
    <t>Category: Data Not Available. Position table works for Ticker/Name/Type/Shares/Price/MV; Cost Basis &amp; Unrealized G/L columns blocked.</t>
  </si>
  <si>
    <t>Top Holdings / Extended Holdings (1-20)</t>
  </si>
  <si>
    <t>Rank, Ticker, Security, Market Value, % of portfolio, Unrealized G/L, status; concentration alerts</t>
  </si>
  <si>
    <t>TABLE-ADV-PORT-01</t>
  </si>
  <si>
    <t>WITH latest_position AS (
    SELECT *
    FROM wealth_pulse_insigneo_model.gold.positions
    WHERE snapshot_date = (
        SELECT MAX(snapshot_date)
        FROM wealth_pulse_insigneo_model.gold.positions
    )
),
book_aum AS (
    SELECT
        SUM(trade_date_net_worth) AS total_aum
    FROM  wealth_pulse_insigneo_model.gold.account_summary
    WHERE investment_professional_number = 'C54'
),
holdings_by_cusip AS (
    SELECT
        p.cusip,
        SUM(p.amount) AS market_value,
        SUM(p.total_cost) AS total_cost,
        SUM(p.amount - p.total_cost) AS unrealized_gl
    FROM latest_position p
    JOIN wealth_pulse_insigneo_model.gold.financial_account f
        ON p.financial_account_id = f.financial_account_id
    WHERE p.cusip IS NOT NULL
      AND TRIM(p.cusip) &lt;&gt; ''
      AND f.investment_professional_number = 'C54'
    GROUP BY p.cusip
),
ranked_holdings AS
(
    SELECT
        h.cusip,
        s.ticker,
        s.asset_name AS security_name,
        h.market_value,
        h.total_cost,
        h.unrealized_gl,
        ROUND(
            h.market_value / NULLIF(b.total_aum, 0) * 100,
            2
        ) AS pct_of_book,
        ROUND(
            h.unrealized_gl / NULLIF(h.total_cost, 0) * 100,
            2
        ) AS unrealized_gl_pct,
        CASE
            WHEN h.market_value / NULLIF(b.total_aum, 0) &gt; 0.10
                THEN 'Over 10%'
            ELSE NULL
        END AS concentration_badge,
        ROW_NUMBER() OVER (ORDER BY h.market_value DESC) AS rank
    FROM holdings_by_cusip h
    CROSS JOIN book_aum b
    LEFT JOIN wealth_pulse_insigneo_model.gold.securities s
        ON h.cusip = s.cusip
        AND s.is_active = 1
)
SELECT
    rank,
    cusip,
    ticker,
    security_name,
    ROUND(market_value, 2) AS market_value,
    pct_of_book,
    unrealized_gl_pct,
    concentration_badge
FROM ranked_holdings
WHERE rank &lt;= 20
ORDER BY rank;</t>
  </si>
  <si>
    <t>Category: Data Not Available. Top Holdings - rank/%-of-book available; Market Value flagged &amp; Unrealized G/L $/% columns blocked.</t>
  </si>
  <si>
    <t>Tab3: Activity Table</t>
  </si>
  <si>
    <t>Cols: Date, Account, Custodian, Type, Security, Qty, Price, Net Amount + Period/Custodian/Type filters</t>
  </si>
  <si>
    <t>fact_transaction + dim_security</t>
  </si>
  <si>
    <t>WITH latest_snapshot AS (
    SELECT
        MAX(snapshot_date) AS end_date
    FROM wealth_pulse_insigneo_model.gold.positions
),
date_filter AS (
    SELECT
        end_date,
        DATE_SUB(end_date, 30) AS start_date
    FROM latest_snapshot
),
account_details AS (
    SELECT
        account_number,
        MAX(account_short_name) AS account_short_name,
        MAX(registration_type) AS registration_type
    FROM wealth_pulse_insigneo_model.gold.financial_account
    WHERE account_status_indicator = 'O'
      AND is_active = 1
    GROUP BY account_number
),
household_transactions AS (
    SELECT
        hd.house_hold_name,
        t.transaction_date,
        t.financial_account_id,
        t.account_number,
        t.custodian,
        t.cusip,
        t.quantity,
        t.price,
        t.amount
    FROM wealth_pulse_insigneo_model.gold.transactions t
    JOIN wealth_pulse_insigneo_model.gold.household_details hd
        ON t.financial_account_id = hd.financial_account_id
    JOIN wealth_pulse_insigneo_model.gold.financial_account fa
        ON t.financial_account_id = fa.financial_account_id
    WHERE hd.house_hold_name = 'SAPPHIRE'
      AND fa.account_status_indicator = 'O'
      AND fa.is_active = 1
      AND t.transaction_date BETWEEN
            (SELECT start_date FROM date_filter)
        AND (SELECT end_date FROM date_filter)
)
SELECT
    ht.transaction_date AS Date,
    ad.account_short_name AS Account,
    ht.custodian AS Custodian,
    ad.registration_type AS Registration,
    COALESCE(MAX(s.asset_name), ht.cusip) AS Security,
    ht.quantity AS Qty,
    ht.price AS Price,
    ht.amount AS `Net Amount`
FROM household_transactions ht
JOIN account_details ad
    ON ht.account_number = ad.account_number
LEFT JOIN wealth_pulse_insigneo_model.gold.securities s
    ON ht.cusip = s.cusip
GROUP BY
    ht.transaction_date,
    ad.account_short_name,
    ad.registration_type,
    ht.custodian,
    ht.cusip,
    ht.quantity,
    ht.price,
    ht.amount
ORDER BY
    ht.transaction_date DESC,
    ad.account_short_name;</t>
  </si>
  <si>
    <t>Category: Done. Activity (transactions) available - updated in DB.</t>
  </si>
  <si>
    <t>Tab4: Tax Lot Summary</t>
  </si>
  <si>
    <t>Unrealized G/L split by holding period (long/short)</t>
  </si>
  <si>
    <t>fact_position holding_period</t>
  </si>
  <si>
    <t>CHART-015</t>
  </si>
  <si>
    <t>Category: Data Not Available. Tax Lot Summary - needs unrealized G/L, cost basis &amp; holding period, not in Insigneo.</t>
  </si>
  <si>
    <t>Tab4: Custodian Distribution Chart</t>
  </si>
  <si>
    <t>Share of portfolio value across custodians</t>
  </si>
  <si>
    <t>fact_position grouped by source_custodian</t>
  </si>
  <si>
    <t>CHART-016</t>
  </si>
  <si>
    <t>SELECT
  p.custodian                    AS custodian,
  SUM(p.market_value)                   AS aum
FROM positions p
JOIN household_details h ON p.financial_account_id = h.financial_account_id
WHERE h.id = :id
  AND p.snapshot_date = (SELECT MAX(sp.snapshot_date) FROM positions sp JOIN household_details sh ON sp.financial_account_id = sh.financial_account_id
 WHERE sh.id = :household_id)
GROUP BY p.custodian
ORDER BY aum DESC;</t>
  </si>
  <si>
    <t>Category: Done. Custodian Distribution donut; validate vs Insigneo (flagged 'Doubt').</t>
  </si>
  <si>
    <t>Scope &amp; Compare Controls</t>
  </si>
  <si>
    <t>Scope (Book/Team/Household/Model/Segment); Compare (Model Target / Prev vs Current Qtr / Benchmark S&amp;P500)</t>
  </si>
  <si>
    <t>config + Yahoo Finance API</t>
  </si>
  <si>
    <t>Category: -. Scope/Compare control; benchmark via Yahoo API, model-target compare needs config.</t>
  </si>
  <si>
    <t>Asset Allocation - Current vs Target (CHART-008)</t>
  </si>
  <si>
    <t>Grouped bars current vs comparison + delta row; Gold asset_class enums</t>
  </si>
  <si>
    <t>fact_position + model config</t>
  </si>
  <si>
    <t>CHART-008</t>
  </si>
  <si>
    <t>WITH latest_snapshot AS (
    SELECT
        MAX(snapshot_date) AS snapshot_date
    FROM wealth_pulse_insigneo_model.gold.positions
),
account_aum AS (
    SELECT
        hd.house_hold_name,
        hd.account_number,
        SUM(p.amount) AS account_aum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WHERE p.snapshot_date = (
        SELECT snapshot_date
        FROM latest_snapshot
    )
      AND hd.house_hold_name = 'AURORA'
      AND fa.account_status_indicator = 'O'
      AND fa.is_active = 1
    GROUP BY
        hd.house_hold_name,
        hd.account_number
),
current_allocation AS (
    SELECT
        s.asset_class,
        ROUND(
            SUM(ABS(p.amount))*100.0/
            SUM(SUM(ABS(p.amount))) OVER(),
            2
        ) AS current_pct
    FROM wealth_pulse_insigneo_model.gold.positions p
    JOIN wealth_pulse_insigneo_model.gold.household_details hd
        ON p.financial_account_id=hd.financial_account_id
    JOIN wealth_pulse_insigneo_model.gold.financial_account fa
        ON p.financial_account_id=fa.financial_account_id
    JOIN wealth_pulse_insigneo_model.gold.securities s
        ON p.cusip=s.cusip
    WHERE p.snapshot_date=(
            SELECT snapshot_date
            FROM latest_snapshot
          )
      AND hd.house_hold_name='AURORA'
      AND fa.account_status_indicator='O'
      AND fa.is_active=1
    GROUP BY
        s.asset_class
),
target_allocation AS (
    SELECT
        SUM(aa.account_aum*dmp.target_equity_pct)
            /SUM(aa.account_aum) AS target_equity,
        SUM(aa.account_aum*dmp.target_fi_pct)
            /SUM(aa.account_aum) AS target_fi,
        SUM(aa.account_aum*dmp.target_alt_pct)
            /SUM(aa.account_aum) AS target_alt,
        SUM(aa.account_aum*dmp.target_cash_pct)
            /SUM(aa.account_aum) AS target_cash
    FROM account_aum aa
    JOIN wealth_pulse_insigneo_model.silver.account_model_mapping mam
        ON aa.account_number=mam.account_number
    JOIN wealth_pulse_insigneo_model.gold.dim_model_portfolio dmp
        ON mam.model_id=dmp.model_id
)
SELECT
    'Equity' AS asset,
    COALESCE(MAX(CASE WHEN asset_class='Equity' THEN current_pct END),0) AS current,
    ROUND(MAX(target_equity),2) AS target
FROM current_allocation
CROSS JOIN target_allocation
UNION ALL
SELECT
    'Fixed Income',
    COALESCE(MAX(CASE WHEN asset_class='Fixed Income' THEN current_pct END),0),
    ROUND(MAX(target_fi),2)
FROM current_allocation
CROSS JOIN target_allocation
UNION ALL
SELECT
    'Alternative',
    COALESCE(MAX(CASE WHEN asset_class='Alternative' THEN current_pct END),0),
    ROUND(MAX(target_alt),2)
FROM current_allocation
CROSS JOIN target_allocation
UNION ALL
SELECT
    'Cash',
    COALESCE(MAX(CASE WHEN asset_class='Cash' THEN current_pct END),0),
    ROUND(MAX(target_cash),2)
FROM current_allocation
CROSS JOIN target_allocation;</t>
  </si>
  <si>
    <t>Category: Done. Allocation Current vs Target; sub-asset-class classification to validate ('Doubt').</t>
  </si>
  <si>
    <t>Widget</t>
  </si>
  <si>
    <t>Portfolio Health</t>
  </si>
  <si>
    <t>% households aligned to model, drifting accounts, circular progress</t>
  </si>
  <si>
    <t>Accounts within ±5% drift / total</t>
  </si>
  <si>
    <t>KPI-070</t>
  </si>
  <si>
    <t>WITH latest_snapshot AS (
    SELECT MAX(snapshot_date) AS max_snapshot_date
    FROM wealth_pulse_insigneo_model.gold.positions
),
/* Account level equity allocation and AUM */
account_base AS (
    SELECT
        ac.financial_account_id,
        fa.account_number,
        fa.investment_professional_number,
        h.house_hold_name,
        ac.total_equity,
        p.amount AS account_aum
    FROM wealth_pulse_insigneo_model.gold.account_summary ac
    JOIN wealth_pulse_insigneo_model.gold.financial_account fa
        ON ac.financial_account_id = fa.financial_account_id
    JOIN wealth_pulse_insigneo_model.gold.positions p
        ON p.financial_account_id = ac.financial_account_id
    JOIN wealth_pulse_insigneo_model.gold.household_details h
        ON ac.financial_account_id = h.financial_account_id
),
/* Account model assignment + drift calculation */
account_health AS (
    SELECT
        ab.investment_professional_number,
        ab.house_hold_name,
        ab.account_number,
        amm.model_id,
        ABS(
            (
                ab.total_equity * 100.0
                /
                NULLIF(ab.account_aum,0)
            )
            -
            dmp.target_equity_pct
        ) AS drift_pct,
        COALESCE(
            dmp.drift_threshold_pct,
            5
        ) AS drift_threshold_pct
    FROM account_base ab
    LEFT JOIN wealth_pulse_insigneo_model.silver.account_model_mapping amm
        ON ab.account_number = amm.account_number
    LEFT JOIN wealth_pulse_insigneo_model.gold.dim_model_portfolio dmp
        ON amm.model_id = dmp.model_id
),
/* Household health evaluation */
household_health AS (
    SELECT
        investment_professional_number,
        house_hold_name,
        COUNT(
            CASE
                WHEN model_id IS NULL
                THEN 1
            END
        ) AS unmodeled_accounts,
        COUNT(
            CASE
                WHEN drift_pct &gt; COALESCE(drift_threshold_pct, 0.05)
                THEN 1
            END
        ) AS drifting_accounts
    FROM account_health
    GROUP BY
        investment_professional_number,
        house_hold_name
)
SELECT
    investment_professional_number AS advisor,
    COUNT(
        CASE
            WHEN unmodeled_accounts = 0
             AND drifting_accounts = 0
            THEN 1
        END
    ) AS healthy_households,
    COUNT(*) AS total_households,
    COUNT(
        CASE
            WHEN unmodeled_accounts = 0
             AND drifting_accounts = 0
            THEN 1
        END
    )
    * 100.0
    /
    NULLIF(COUNT(*),0) AS portfolio_health_pct
FROM household_health
GROUP BY investment_professional_number;</t>
  </si>
  <si>
    <t>Category: Data Not Available. Portfolio Health % - needs model-portfolio &amp; drift, not in Insigneo.</t>
  </si>
  <si>
    <t>Top 20 Holdings Concentration Map (CHART-010)</t>
  </si>
  <si>
    <t>Top 20 by MV, % of book bar, &gt;10% red badge</t>
  </si>
  <si>
    <t>SUM(market_value) by cusip</t>
  </si>
  <si>
    <t>CHART-010</t>
  </si>
  <si>
    <t>WITH latest_snapshot AS (
    SELECT
        MAX(snapshot_date) AS snapshot_date
    FROM wealth_pulse_insigneo_model.gold.positions
),
book_total AS (
    SELECT
        SUM(p.amount) AS total_mv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WHERE hd.house_hold_name = 'AURORA'
      AND p.snapshot_date = (
            SELECT snapshot_date
            FROM latest_snapshot
        )
      AND fa.account_status_indicator = 'O'
      AND fa.is_active = 1
),
rolled AS (
    SELECT
        p.cusip,
        MAX(s.ticker) AS ticker,
        MAX(s.asset_name) AS asset_name,
        SUM(p.amount) AS market_value,
        SUM(p.total_cost) AS cost_basis,
        SUM(p.amount) - SUM(p.total_cost) AS unrealized_gl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LEFT JOIN wealth_pulse_insigneo_model.gold.securities s
        ON p.cusip = s.cusip
    WHERE hd.house_hold_name = 'AURORA'
      AND p.snapshot_date = (
            SELECT snapshot_date
            FROM latest_snapshot
        )
      AND fa.account_status_indicator = 'O'
      AND fa.is_active = 1
    GROUP BY
        p.cusip
)
SELECT
    ROW_NUMBER() OVER (ORDER BY r.market_value DESC) AS rank,
    r.cusip,
    r.ticker,
    r.asset_name,
    ROUND(r.market_value, 2) AS market_value,
    ROUND(r.cost_basis, 2) AS cost_basis,
    ROUND(r.unrealized_gl, 2) AS unrealized_gain_loss,
    ROUND(
        r.market_value * 100.0 /
        NULLIF(bt.total_mv, 0),
        2
    ) AS pct_of_book,
    CASE
        WHEN r.market_value * 100.0 / NULLIF(bt.total_mv, 0) &gt; 10
        THEN 'RED'
        ELSE 'NORMAL'
    END AS concentration_flag
FROM rolled r
CROSS JOIN book_total bt
ORDER BY
    r.market_value DESC
LIMIT 20;</t>
  </si>
  <si>
    <t>Category: Data Not Available. Top 20 Concentration Map - query/logic fix needed (data available).</t>
  </si>
  <si>
    <t>Client Engagement</t>
  </si>
  <si>
    <t>Meeting completion %, overdue reviews, circular progress</t>
  </si>
  <si>
    <t>fact_client_360</t>
  </si>
  <si>
    <t>KPI-071</t>
  </si>
  <si>
    <t>Category: Data Not Available. Client Engagement - needs meeting/last-meeting data, not in Insigneo.</t>
  </si>
  <si>
    <t>Data Not Available, Scoped for a agents</t>
  </si>
  <si>
    <t>Risk Card - Top 10 Concentration %</t>
  </si>
  <si>
    <t>Combined exposure of top 10 holdings (threshold 40%)</t>
  </si>
  <si>
    <t>AUM-weighted</t>
  </si>
  <si>
    <t>KPI-034</t>
  </si>
  <si>
    <t xml:space="preserve">WITH latest_snapshot AS (
    SELECT
        MAX(snapshot_date) AS snapshot_date
    FROM wealth_pulse_insigneo_model.gold.positions
),
holdings AS (
    SELECT
        UPPER(
            COALESCE(
                NULLIF(TRIM(s.ticker), ''),
                NULLIF(TRIM(p.cusip), '')
            )
        ) AS position_key,
        SUM(p.amount) AS market_value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LEFT JOIN wealth_pulse_insigneo_model.gold.securities s
        ON p.cusip = s.cusip
    WHERE hd.house_hold_name = 'CYGNUS'
      AND p.snapshot_date = (
            SELECT MAX(snapshot_date)
            FROM wealth_pulse_insigneo_model.gold.positions
        )
      AND fa.account_status_indicator = 'O'
      AND fa.is_active = 1
    GROUP BY
        UPPER(
            COALESCE(
                NULLIF(TRIM(s.ticker), ''),
                NULLIF(TRIM(p.cusip), '')
            )
        )
),
ranked AS (
    SELECT
        market_value,
        ROW_NUMBER() OVER (ORDER BY market_value DESC) AS rn
    FROM holdings
)
SELECT
    ROUND(
        (
            SELECT SUM(market_value)
            FROM ranked
            WHERE rn &lt;= 10
        ) * 100.0
        /
        (
            SELECT SUM(market_value)
            FROM holdings
        ),
        2
    ) AS top10_concentration_pct; </t>
  </si>
  <si>
    <t>Category: Done. Top 10 Concentration updated in DB.</t>
  </si>
  <si>
    <t>Risk Card - Single Position Max %</t>
  </si>
  <si>
    <t>Largest single position exposure + security</t>
  </si>
  <si>
    <t>highest % of book</t>
  </si>
  <si>
    <t>KPI-035</t>
  </si>
  <si>
    <t xml:space="preserve">
WITH latest_snapshot AS (
    SELECT
        MAX(snapshot_date) AS snapshot_date
    FROM wealth_pulse_insigneo_model.gold.positions
),
holdings AS (
    SELECT
        UPPER(
            COALESCE(
                NULLIF(TRIM(s.ticker), ''),
                NULLIF(TRIM(p.cusip), '')
            )
        ) AS position_key,
        SUM(p.amount) AS market_value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LEFT JOIN wealth_pulse_insigneo_model.gold.securities s
        ON p.cusip = s.cusip
    WHERE hd.house_hold_name = 'AURORA'
      AND p.snapshot_date = (
            SELECT snapshot_date
            FROM latest_snapshot
        )
      AND fa.account_status_indicator = 'O'
      AND fa.is_active = 1
    GROUP BY
        UPPER(
            COALESCE(
                NULLIF(TRIM(s.ticker), ''),
                NULLIF(TRIM(p.cusip), '')
            )
        )
)
SELECT
    ROUND(
        MAX(market_value) * 100.0 /
        NULLIF(SUM(market_value), 0),
        2
    ) AS max_concentration_pct
FROM holdings;</t>
  </si>
  <si>
    <t>Category: Done. Single Position Max updated in DB.</t>
  </si>
  <si>
    <t>Risk Card - Cash Drag (bps)</t>
  </si>
  <si>
    <t>Return impact of idle cash</t>
  </si>
  <si>
    <t>cash_pct × 5% × 100</t>
  </si>
  <si>
    <t>KPI-014</t>
  </si>
  <si>
    <t>WITH latest_snapshot AS (
    SELECT
        MAX(snapshot_date) AS snapshot_date
    FROM wealth_pulse_insigneo_model.gold.positions
),
account_mv AS (
    SELECT
        p.financial_account_id,
        SUM(p.amount) AS market_value
    FROM wealth_pulse_insigneo_model.gold.positions p
    WHERE p.snapshot_date = (
        SELECT snapshot_date
        FROM latest_snapshot
    )
    GROUP BY
        p.financial_account_id
),
acct_cash AS (
    SELECT
        a.financial_account_id,
        a.account_number,
        a.cash_available,
        mv.market_value,
        a.cash_available /
        NULLIF(mv.market_value, 0) AS cash_pct
    FROM wealth_pulse_insigneo_model.gold.account_summary a
    JOIN account_mv mv
        ON a.financial_account_id = mv.financial_account_id
    JOIN wealth_pulse_insigneo_model.gold.household_details hd
        ON a.financial_account_id = hd.financial_account_id
    JOIN wealth_pulse_insigneo_model.gold.financial_account fa
        ON a.financial_account_id = fa.financial_account_id
    WHERE hd.house_hold_name = @house_hold_name
      AND fa.account_status_indicator = 'O'
      AND fa.is_active = 1
)
SELECT
    ROUND(
        (
            AVG(cash_pct) - 0.03
        )
        *
        (
            @equity_benchmark_return - @money_market_rate
        )
        * 10000,
        2
    ) AS cash_drag_bps
FROM acct_cash
WHERE cash_pct &gt; 0.03;</t>
  </si>
  <si>
    <t>Category: (with new derived table). Cash Drag via new derived table.</t>
  </si>
  <si>
    <t>Risk Alerts</t>
  </si>
  <si>
    <t>Counts of critical / warning / opportunity items</t>
  </si>
  <si>
    <t>Signal/Insights framework</t>
  </si>
  <si>
    <t>WITH latest_snapshot AS (
    SELECT MAX(snapshot_date) AS max_snapshot_date
    FROM wealth_pulse_insigneo_model.gold.positions
),
/* Account level AUM and cash allocation */
account_metrics_base AS (
    SELECT
        ac.financial_account_id,
        (
            COALESCE(ac.trade_date_net_worth,0)
            +
            COALESCE(ac.cash_available,0)
        ) AS account_aum,
        CASE
            WHEN (
                COALESCE(ac.trade_date_net_worth,0)
                +
                COALESCE(ac.cash_available,0)
            ) = 0
            THEN 0
            ELSE
                ac.cash_available * 100.0
                /
                (
                    COALESCE(ac.trade_date_net_worth,0)
                    +
                    COALESCE(ac.cash_available,0)
                )
        END AS cash_pct
    FROM wealth_pulse_insigneo_model.gold.account_summary ac
),
/* Security concentration per account */
security_concentration AS (
    SELECT
        p.financial_account_id,
        MAX(
            ABS(p.amount) * 100.0
            /
            NULLIF(am.account_aum,0)
        ) AS max_position_pct
    FROM wealth_pulse_insigneo_model.gold.positions p
    JOIN account_metrics_base am
        ON p.financial_account_id = am.financial_account_id
    CROSS JOIN latest_snapshot l
    WHERE p.snapshot_date = l.max_snapshot_date
    GROUP BY
        p.financial_account_id
),
/* Unrealized gain/loss */
account_pnl AS (
    SELECT
        financial_account_id,
        SUM(
            amount - total_cost
        ) AS unrealized_gl
    FROM wealth_pulse_insigneo_model.gold.positions
    CROSS JOIN latest_snapshot l
    WHERE snapshot_date = l.max_snapshot_date
    GROUP BY
        financial_account_id
),
/* Model drift calculation */
account_drift AS (
    SELECT
        ac.financial_account_id,
        ABS(
            (
                ac.total_equity * 100.0
                /
                NULLIF(
                    (
                        COALESCE(ac.trade_date_net_worth,0)
                        +
                        COALESCE(ac.cash_available,0)
                    ),
                    0
                )
            )
            -
            dmp.target_equity_pct
        ) AS drift_pct
    FROM wealth_pulse_insigneo_model.gold.account_summary ac
    JOIN wealth_pulse_insigneo_model.gold.financial_account fa
        ON ac.financial_account_id = fa.financial_account_id
    JOIN wealth_pulse_insigneo_model.silver.account_model_mapping amm
        ON amm.account_number = fa.account_number
    JOIN wealth_pulse_insigneo_model.gold.dim_model_portfolio dmp
        ON dmp.model_id = amm.model_id
),
/* Combine all account-level metrics */
account_alert_metrics AS (
    SELECT
        fa.investment_professional_number,
        sc.max_position_pct,
        d.drift_pct,
        am.cash_pct,
        pnl.unrealized_gl
    FROM account_metrics_base am
    JOIN wealth_pulse_insigneo_model.gold.financial_account fa
        ON am.financial_account_id = fa.financial_account_id
    LEFT JOIN security_concentration sc
        ON am.financial_account_id = sc.financial_account_id
    LEFT JOIN account_drift d
        ON am.financial_account_id = d.financial_account_id
    LEFT JOIN account_pnl pnl
        ON am.financial_account_id = pnl.financial_account_id
)
SELECT
    investment_professional_number AS advisor,
    /* CRITICAL ALERTS */
    COUNT(
        CASE
            WHEN max_position_pct &gt; 10
              OR drift_pct &gt; 8
            THEN 1
        END
    ) AS critical_alerts,
    /* WARNING ALERTS */
    COUNT(
        CASE
            WHEN drift_pct &gt; 4
              OR cash_pct &gt; 10
            THEN 1
        END
    ) AS warning_alerts,
    /* OPPORTUNITY ALERTS */
    COUNT(
        CASE
            WHEN unrealized_gl &lt; -5000
            THEN 1
        END
    ) AS opportunity_alerts
FROM account_alert_metrics
GROUP BY
    investment_professional_number;</t>
  </si>
  <si>
    <t>Category: Data Not Available. Risk Alerts - needs multi-signal risk data, not in Insigneo.</t>
  </si>
  <si>
    <t>Upcoming Activities</t>
  </si>
  <si>
    <t>Upcoming meetings, report reminders, review due dates</t>
  </si>
  <si>
    <t>Calendar/events</t>
  </si>
  <si>
    <t>Category: Data Not Available. Upcoming Activities - no meeting/review calendar data in Insigneo.</t>
  </si>
  <si>
    <t>Market News &amp; Portfolio Intelligence (Placeholder)</t>
  </si>
  <si>
    <t>Market News Placeholder</t>
  </si>
  <si>
    <t>Static 'Coming Soon' market news container</t>
  </si>
  <si>
    <t>Portfolio Intelligence Panel Placeholder</t>
  </si>
  <si>
    <t>Framework for future real-time signals / AI recs (Epic 26, Stage 2)</t>
  </si>
  <si>
    <t>Category: -. Portfolio Intelligence placeholder.</t>
  </si>
  <si>
    <t>Action Items &amp; Alerts Screen</t>
  </si>
  <si>
    <t>Critical / Warnings / Opportunities / Informational counts</t>
  </si>
  <si>
    <t>4 summary counters by insight severity (clickable filters)</t>
  </si>
  <si>
    <t>Insights Portal framework</t>
  </si>
  <si>
    <t>Ready for Testing</t>
  </si>
  <si>
    <t>Category: Data Available/Calculation Required. Insight counts - Insights framework; drivable for available signals, risk/engagement-based counts blocked.</t>
  </si>
  <si>
    <t>Category Tabs + Show Dismissed</t>
  </si>
  <si>
    <t>All/Critical/Warnings/Opportunities/Informational tabs; show-dismissed toggle</t>
  </si>
  <si>
    <t>Category: -. Category tabs - UI control.</t>
  </si>
  <si>
    <t>Insight Cards List</t>
  </si>
  <si>
    <t>Each card: Severity, Title, Description (what+why), Key Data Points, Affected Entity, Recommendation, Timestamp + actions (View HH/Dismiss/Resolve)</t>
  </si>
  <si>
    <t>Insights framework</t>
  </si>
  <si>
    <t>Category: Data Available/Calculation Required. Insight cards - Insights framework build; content depends on signals (some blocked).</t>
  </si>
  <si>
    <t>Priority Actions Panel (Framework)</t>
  </si>
  <si>
    <t>Workflow Queue Sections</t>
  </si>
  <si>
    <t>High Priority / Upcoming / In Progress / Completed queues</t>
  </si>
  <si>
    <t>Seeded + Stage-2 agent outputs</t>
  </si>
  <si>
    <t>New</t>
  </si>
  <si>
    <t>Category: -. Workflow queue - Stage-2 framework.</t>
  </si>
  <si>
    <t>Action Cards</t>
  </si>
  <si>
    <t>Action title, priority, category, related client/HH, due date, source; interactions (open/complete/snooze)</t>
  </si>
  <si>
    <t>Prioritization framework</t>
  </si>
  <si>
    <t>Category: -. Action cards - Stage-2 framework.</t>
  </si>
  <si>
    <t>Concentration Analysis - Top 10 Positions</t>
  </si>
  <si>
    <t xml:space="preserve">WITH latest_snapshot AS (
    SELECT MAX(snapshot_date) AS snapshot_date
    FROM wealth_pulse_insigneo_model.gold.positions
),
latest_positions AS (
    SELECT
        p.financial_account_id,
        p.account_number,
        p.cusip,
        p.amount AS market_value
    FROM wealth_pulse_insigneo_model.gold.positions p
    WHERE p.snapshot_date = (SELECT snapshot_date FROM latest_snapshot)
),
hh_positions AS (
    SELECT
        hd.house_hold_name,
        COALESCE(NULLIF(TRIM(s.ticker), ''), NULLIF(TRIM(lp.cusip), '')) AS position_key,
        COALESCE(NULLIF(TRIM(s.ticker), ''), lp.cusip) AS ticker,
        COALESCE(s.asset_name, '—') AS security_name,
        lp.market_value
    FROM latest_positions lp
    JOIN wealth_pulse_insigneo_model.gold.household_details hd
        ON lp.financial_account_id = hd.financial_account_id
    JOIN wealth_pulse_insigneo_model.gold.financial_account fa
        ON lp.financial_account_id = fa.financial_account_id
    LEFT JOIN wealth_pulse_insigneo_model.gold.securities s
        ON lp.cusip = s.cusip
    WHERE fa.account_status_indicator = 'O'
      AND fa.is_active = 1
      AND hd.house_hold_name = 'AURORA'   -- change household
),
rolled AS (
    SELECT
        house_hold_name,
        UPPER(position_key) AS position_key,
        MAX(ticker) AS ticker,
        MAX(security_name) AS security_name,
        SUM(market_value) AS market_value
    FROM hh_positions
    WHERE position_key IS NOT NULL
    GROUP BY house_hold_name, UPPER(position_key)
),
hh_aum AS (
    SELECT
        house_hold_name,
        SUM(market_value) AS total_aum
    FROM rolled
    GROUP BY house_hold_name
)
SELECT
    r.house_hold_name,
    r.ticker,
    r.security_name,
    ROUND(r.market_value, 2) AS market_value,
    ROUND(r.market_value * 100.0 / NULLIF(a.total_aum, 0), 2) AS pct_of_household,
    CASE WHEN r.market_value * 100.0 / NULLIF(a.total_aum, 0) &gt; 10 THEN 'over_limit' ELSE 'ok' END AS status
FROM rolled r
JOIN hh_aum a
  ON r.house_hold_name = a.house_hold_name
ORDER BY r.market_value DESC
LIMIT 10;
 </t>
  </si>
  <si>
    <t>Phase 3</t>
  </si>
  <si>
    <t>Tab 3 - Activity</t>
  </si>
  <si>
    <t>Estimated Revenue &amp; Fee Rate Drilldown (AUM by Tier)</t>
  </si>
  <si>
    <t>WITH latest_snapshot AS (
    SELECT
        MAX(snapshot_date) AS latest_date
    FROM wealth_pulse_insigneo_model.gold.positions
),
quarter_dates AS (
    SELECT
        latest_date,
        CAST(DATE_TRUNC('quarter', latest_date) AS DATE) AS current_qtr_start,
        ADD_MONTHS(
            CAST(DATE_TRUNC('quarter', latest_date) AS DATE),
            -3
        ) AS previous_qtr_start,
        DATE_SUB(
            CAST(DATE_TRUNC('quarter', latest_date) AS DATE),
            1
        ) AS previous_qtr_end
    FROM latest_snapshot
),
snapshot_dates AS (
    SELECT
        q.latest_date,
        (
            SELECT MAX(snapshot_date)
            FROM wealth_pulse_insigneo_model.gold.positions
            WHERE snapshot_date &lt;= q.previous_qtr_end
        ) AS previous_snapshot,
        q.current_qtr_start,
        q.previous_qtr_start,
        q.previous_qtr_end
    FROM quarter_dates q
),
ranked_trades AS (
    SELECT
        fc.financial_account_id,
        tb.trade_id,
        tb.workflow_status,
        tb.broker_month,
        tb.gross_comm,
        tb.load_time,
        ROW_NUMBER() OVER (
            PARTITION BY tb.trade_id
            ORDER BY
                CASE tb.workflow_status
                    WHEN 'Reconciled' THEN 2
                    WHEN 'Confirmed' THEN 1
                    ELSE 0
                END DESC,
                tb.load_time DESC
        ) AS rn
    FROM wealth_pulse_insigneo_model.silver.transaction_blotter tb
    INNER JOIN wealth_pulse_insigneo_model.gold.fa_commission fc
        ON tb.trade_id = fc.trade_id
),
current_position AS (
    SELECT
        p.financial_account_id,
        SUM(ABS(p.amount)) AS market_value
    FROM wealth_pulse_insigneo_model.gold.positions p
    INNER JOIN wealth_pulse_insigneo_model.gold.financial_account fa
        ON p.financial_account_id = fa.financial_account_id
    CROSS JOIN snapshot_dates s
    WHERE p.snapshot_date = s.latest_date
      AND fa.account_status_indicator='O'
      AND fa.is_active=1
    GROUP BY
        p.financial_account_id
),
previous_position AS (
    SELECT
        p.financial_account_id,
        SUM(ABS(p.amount)) AS market_value
    FROM wealth_pulse_insigneo_model.gold.positions p
    INNER JOIN wealth_pulse_insigneo_model.gold.financial_account fa
        ON p.financial_account_id = fa.financial_account_id
    CROSS JOIN snapshot_dates s
    WHERE p.snapshot_date = s.previous_snapshot
      AND fa.account_status_indicator='O'
      AND fa.is_active=1
    GROUP BY
        p.financial_account_id
),
current_fee AS (
    SELECT
        rt.financial_account_id,
        SUM(rt.gross_comm) AS fee_revenue
    FROM ranked_trades rt
    INNER JOIN wealth_pulse_insigneo_model.gold.financial_account fa
        ON rt.financial_account_id = fa.financial_account_id
    CROSS JOIN snapshot_dates s
    WHERE rt.rn = 1
      AND rt.broker_month BETWEEN s.current_qtr_start
                              AND s.latest_date
      AND fa.account_status_indicator='O'
      AND fa.is_active=1
    GROUP BY
        rt.financial_account_id
),
previous_fee AS (
    SELECT
        rt.financial_account_id,
        SUM(rt.gross_comm) AS fee_revenue
    FROM ranked_trades rt
    INNER JOIN wealth_pulse_insigneo_model.gold.financial_account fa
        ON rt.financial_account_id = fa.financial_account_id
    CROSS JOIN snapshot_dates s
    WHERE rt.rn = 1
      AND rt.broker_month BETWEEN s.previous_qtr_start
                              AND s.previous_qtr_end
      AND fa.account_status_indicator='O'
      AND fa.is_active=1
    GROUP BY
        rt.financial_account_id
),
household_current AS (
    SELECT
        hd.house_hold_name,
        SUM(cp.market_value) AS current_aum,
        SUM(COALESCE(cf.fee_revenue,0)) AS current_fee
    FROM current_position cp
    INNER JOIN wealth_pulse_insigneo_model.gold.household_details hd
        ON cp.financial_account_id = hd.financial_account_id
    LEFT JOIN current_fee cf
        ON cp.financial_account_id = cf.financial_account_id
    GROUP BY
        hd.house_hold_name
),
household_previous AS (
    SELECT
        hd.house_hold_name,
        SUM(pp.market_value) AS previous_aum,
        SUM(COALESCE(pf.fee_revenue,0)) AS previous_fee
    FROM previous_position pp
    INNER JOIN wealth_pulse_insigneo_model.gold.household_details hd
        ON pp.financial_account_id = hd.financial_account_id
    LEFT JOIN previous_fee pf
        ON pp.financial_account_id = pf.financial_account_id
    GROUP BY
        hd.house_hold_name
),
client_segment AS
( 
 SELECT t.house_hold_name, 
            CASE WHEN MAX( CASE WHEN t.entity_name IS NOT NULL AND TRIM(t.entity_name) &lt;&gt; '' THEN 1 ELSE 0 END ) = 1 THEN 'Corporate' 
                 WHEN SUM(t.maximum_net_worth) &gt;= 10000000 THEN 'UHNW' 
                 WHEN SUM(t.maximum_net_worth) &gt;= 1000000 THEN 'HNW' 
                 WHEN SUM(t.maximum_net_worth) IS NOT NULL THEN 'Mass Affluent' 
                 WHEN SUM(t.maximum_annual_income) &gt;= 1000000 THEN 'UHNW (Estimated)' 
                 WHEN SUM(t.maximum_annual_income) &gt;= 250000 THEN 'HNW (Estimated)' 
                 ELSE 'Mass Affluent' 
            END AS client_segment
    FROM ( SELECT DISTINCT hd.house_hold_name, 
                  pa.person_account_id, 
                  pa.entity_name, 
                  pa.maximum_net_worth, 
                  pa.maximum_annual_income
           FROM wealth_pulse_insigneo_model.gold.positions p 
           JOIN wealth_pulse_insigneo_model.gold.household_details hd 
                ON p.financial_account_id = hd.financial_account_id 
           JOIN wealth_pulse_insigneo_model.gold.person_financial_mapping pfm 
                ON p.financial_account_id = pfm.financial_account_id 
           JOIN wealth_pulse_insigneo_model.gold.person_account pa 
                ON pfm.person_account_id = pa.person_account_id 
           JOIN wealth_pulse_insigneo_model.gold.financial_account fa 
                ON p.financial_account_id = fa.financial_account_id
    WHERE p.snapshot_date = ( 
        SELECT snapshot_date
        FROM latest_snapshot 
    ) 
       AND fa.account_status_indicator = 'O' 
       AND fa.is_active = 1 ) t
GROUP BY t.house_hold_name 
),
segment_households AS (
SELECT
cs.client_segment,
hc.house_hold_name,
hc.current_aum,
hc.current_fee,
hp.previous_aum,
hp.previous_fee,
ROUND(
    current_fee
    /
    NULLIF(current_aum,0)
    *10000,
    2
) AS current_household_bps
FROM household_current hc
LEFT JOIN household_previous hp
ON hc.house_hold_name=hp.house_hold_name
JOIN client_segment cs
ON hc.house_hold_name=cs.house_hold_name
),
tier_summary AS (
    SELECT
        client_segment,
        COUNT(DISTINCT house_hold_name) AS households,
        SUM(current_aum) AS total_current_aum,
        SUM(previous_aum) AS total_previous_aum,
        SUM(current_fee) AS total_current_fee,
        SUM(previous_fee) AS total_previous_fee,
        ROUND(
                AVG(current_household_bps),
                2
        ) AS avg_current_bps
    FROM segment_households
    GROUP BY client_segment
)
SELECT
    client_segment,
    households,
    ROUND(
        total_current_fee
        /
        NULLIF(total_current_aum,0)
        *10000,
        2
    ) AS current_bps,
    ROUND(
        total_previous_fee
        /
        NULLIF(total_previous_aum,0)
        *10000,
        2
    ) AS previous_bps,
    avg_current_bps
FROM tier_summary
ORDER BY
CASE client_segment
WHEN 'UHNW' THEN 1
WHEN 'HNW' THEN 2
WHEN 'Mass Affluent' THEN 3
WHEN 'UHNW (Estimated)' THEN 4
WHEN 'HNW (Estimated)' THEN 5
ELSE 6
END;</t>
  </si>
  <si>
    <t>Household Dashboard</t>
  </si>
  <si>
    <t>Idle Cash (Silder)</t>
  </si>
  <si>
    <t>WITH latest_snapshot AS (
    SELECT MAX(snapshot_date) AS max_snapshot_date
    FROM wealth_pulse_insigneo_model.gold.positions
),
position_mv AS (
    SELECT
        p.financial_account_id,
        SUM(p.amount) AS market_value
    FROM wealth_pulse_insigneo_model.gold.positions p
    JOIN wealth_pulse_insigneo_model.gold.financial_account a
        ON p.financial_account_id = a.financial_account_id
    CROSS JOIN latest_snapshot l
    WHERE p.snapshot_date = l.max_snapshot_date
      AND a.account_status_indicator = 'O'
      AND a.is_active = 1
    GROUP BY
        p.financial_account_id
),
account_cash AS (
    SELECT
        hd.house_hold_name,
        a.financial_account_id,
        mv.market_value,
        a.cash_available,
        a.cash_available / NULLIF(mv.market_value,0) AS cash_pct
    FROM wealth_pulse_insigneo_model.gold.account_summary a
    JOIN position_mv mv
        ON a.financial_account_id = mv.financial_account_id
    LEFT JOIN wealth_pulse_insigneo_model.gold.household_details hd
        ON a.financial_account_id = hd.financial_account_id
    JOIN wealth_pulse_insigneo_model.gold.financial_account fa
        ON a.financial_account_id = fa.financial_account_id
    WHERE fa.account_status_indicator = 'O'
      AND fa.is_active = 1
),
household_aum AS (
    SELECT
        hd.house_hold_name,
        SUM(p.amount) AS household_aum
    FROM wealth_pulse_insigneo_model.gold.positions p
    JOIN wealth_pulse_insigneo_model.gold.household_details hd
        ON p.financial_account_id = hd.financial_account_id
    JOIN wealth_pulse_insigneo_model.gold.financial_account fa
        ON p.financial_account_id = fa.financial_account_id
    CROSS JOIN latest_snapshot l
    WHERE p.snapshot_date = l.max_snapshot_date
      AND fa.account_status_indicator = 'O'
      AND fa.is_active = 1
    GROUP BY
        hd.house_hold_name
),
/* Idle cash only for households exceeding 5% */
household_idle_cash AS (
    SELECT
        house_hold_name,
        ROUND(SUM(cash_available),2) AS idle_cash
    FROM account_cash
    GROUP BY
        house_hold_name
),
/* Complete household list */
households AS (
    SELECT DISTINCT
        house_hold_name
    FROM wealth_pulse_insigneo_model.gold.household_details
)
SELECT
    h.house_hold_name,
    ROUND(COALESCE(ha.household_aum,0),2) AS aum,
    ROUND(COALESCE(hic.idle_cash,0),2) AS cash,
    ROUND(
        COALESCE(hic.idle_cash,0)
        * 100.0
        /
        NULLIF(ha.household_aum,0),
        2
    ) AS cash_pct_aum
FROM households h
LEFT JOIN household_idle_cash hic
    ON h.house_hold_name = hic.house_hold_name
LEFT JOIN household_aum ha
    ON h.house_hold_name = ha.house_hold_name
ORDER BY
    cash DESC,
    h.house_hold_name;</t>
  </si>
  <si>
    <t>Total AUM - AUM by segment (silder)</t>
  </si>
  <si>
    <t>Top Net New Assets by advisor- NNA (Slider)</t>
  </si>
  <si>
    <t>WITH latest_snapshot AS (
    SELECT
        MAX(snapshot_date) AS end_date
    FROM wealth_pulse_insigneo_model.gold.positions
),
beginning_snapshot AS (
    SELECT
        MAX(snapshot_date) AS start_date
    FROM wealth_pulse_insigneo_model.gold.positions
    WHERE snapshot_date &lt; (
        SELECT DATE_TRUNC('year', end_date)
        FROM latest_snapshot
    )
)
SELECT
    t.investment_professional_number,
    ROUND(
        SUM(
            CASE
                WHEN t.transaction_code IN
                    ('CONTRIBUTION','TRANSFER_IN','RFF','CSR')
                THEN ABS(t.amount)
                ELSE 0
            END
        )
        -
        SUM(
            CASE
                WHEN t.transaction_code IN
                    ('DISTRIBUTION','TRANSFER_OUT','SFF','PCC')
                THEN ABS(t.amount)
                ELSE 0
            END
        ),
        2
    ) AS net_new_assets
FROM wealth_pulse_insigneo_model.gold.transactions t
JOIN wealth_pulse_insigneo_model.gold.financial_account fa
    ON t.financial_account_id = fa.financial_account_id
CROSS JOIN latest_snapshot ls
CROSS JOIN beginning_snapshot bs
WHERE CAST(t.transaction_date AS DATE)
      BETWEEN bs.start_date
          AND ls.end_date
  AND fa.account_status_indicator = 'O'
  AND fa.is_active = 1
GROUP BY
    t.investment_professional_number
ORDER BY
    net_new_assets DESC
LIMIT 10;</t>
  </si>
  <si>
    <t>#</t>
  </si>
  <si>
    <t>ADO Feature / User Stories</t>
  </si>
  <si>
    <t>ADO IDs</t>
  </si>
  <si>
    <t>State</t>
  </si>
  <si>
    <t># KPIs</t>
  </si>
  <si>
    <t># Charts</t>
  </si>
  <si>
    <t># Tables</t>
  </si>
  <si>
    <t># Panels/Widgets</t>
  </si>
  <si>
    <t># Filters/Sections</t>
  </si>
  <si>
    <t>Description</t>
  </si>
  <si>
    <t>N/A</t>
  </si>
  <si>
    <t>% Done</t>
  </si>
  <si>
    <t>Feature 6.1 Firm Dashboard</t>
  </si>
  <si>
    <t>16641 (F), 16943 (US)</t>
  </si>
  <si>
    <t>Feature: New / US: Done</t>
  </si>
  <si>
    <t>Firm-level AUM, growth, revenue, retention, advisor performance</t>
  </si>
  <si>
    <t>Feature 6.2 Advisor Intelligence</t>
  </si>
  <si>
    <t>16643 (F), 16588, 17098</t>
  </si>
  <si>
    <t>Feature: Active / US: Done</t>
  </si>
  <si>
    <t>Comparative advisor performance; also embedded from Advisor portal</t>
  </si>
  <si>
    <t>Feature 6.3 Household Insights</t>
  </si>
  <si>
    <t>16644 (F), 16589, 17104</t>
  </si>
  <si>
    <t>Firm-wide household health, risk &amp; servicing</t>
  </si>
  <si>
    <t>Feature 7.1 Advisor Home</t>
  </si>
  <si>
    <t>16632 (F), 16006, 16437, 16722</t>
  </si>
  <si>
    <t>Feature: Active / FE Done, BE Ready for Testing</t>
  </si>
  <si>
    <t>Primary advisor operational cockpit</t>
  </si>
  <si>
    <t>Feature 7.3 Household Mgmt</t>
  </si>
  <si>
    <t>16633 (F), 16005, 16436, 16723</t>
  </si>
  <si>
    <t>Feature: Active / US Done/Ready</t>
  </si>
  <si>
    <t>Household book list &amp; segmentation</t>
  </si>
  <si>
    <t>Feature 7.3 (7.3c)</t>
  </si>
  <si>
    <t>16873 (US)</t>
  </si>
  <si>
    <t>Overview / Accounts &amp; Positions / Activity / Analytics tabs</t>
  </si>
  <si>
    <t>Feature 7.4 Portfolio Analytics</t>
  </si>
  <si>
    <t>16634 (F), 16008, 16724</t>
  </si>
  <si>
    <t>Feature: Active / US Done</t>
  </si>
  <si>
    <t>Allocation, sector, concentration, performance, risk</t>
  </si>
  <si>
    <t>Feature 7.2 Market News</t>
  </si>
  <si>
    <t>16635 (F), 16011</t>
  </si>
  <si>
    <t>Feature: Resolved / US Done</t>
  </si>
  <si>
    <t>Placeholder for Stage-2 real-time signals</t>
  </si>
  <si>
    <t>Epic-7 US</t>
  </si>
  <si>
    <t>16590 (US)</t>
  </si>
  <si>
    <t>Insight/alert list from Insights framework</t>
  </si>
  <si>
    <t>16010 (US)</t>
  </si>
  <si>
    <t>Workflow queue surface for Stage-2 agents</t>
  </si>
  <si>
    <t>Work Item Type</t>
  </si>
  <si>
    <t>ADO ID</t>
  </si>
  <si>
    <t>Title</t>
  </si>
  <si>
    <t>Epic</t>
  </si>
  <si>
    <t>15989</t>
  </si>
  <si>
    <t>Epic-6: Leadership Dashboard</t>
  </si>
  <si>
    <t>Active</t>
  </si>
  <si>
    <t>Feature</t>
  </si>
  <si>
    <t>16641</t>
  </si>
  <si>
    <t>6.1 Firm Dashboard Creation and Integration for Leadership</t>
  </si>
  <si>
    <t>User Story</t>
  </si>
  <si>
    <t>16943</t>
  </si>
  <si>
    <t>Leadership Dashboard Home screen Integration</t>
  </si>
  <si>
    <t>QA Story</t>
  </si>
  <si>
    <t>17582</t>
  </si>
  <si>
    <t>[QA] Leadership Dashboard Home screen Integration</t>
  </si>
  <si>
    <t>16643</t>
  </si>
  <si>
    <t>6.2 Advisor Intelligence Dashboard Creation</t>
  </si>
  <si>
    <t>16588</t>
  </si>
  <si>
    <t>6.2a Advisor Intelligence Dashboard - KPI, Charts &amp; Comparison View</t>
  </si>
  <si>
    <t>17098</t>
  </si>
  <si>
    <t>Advisor Intelligence Dashboard (Leadership View) - Integration</t>
  </si>
  <si>
    <t>17371</t>
  </si>
  <si>
    <t>Advisor Intelligence Dashboard - UI &amp; Interaction · QA</t>
  </si>
  <si>
    <t>In Progress</t>
  </si>
  <si>
    <t>17372</t>
  </si>
  <si>
    <t>Advisor Intelligence Dashboard - KPI &amp; Data Integrity · QA</t>
  </si>
  <si>
    <t>17581</t>
  </si>
  <si>
    <t>[QA] 6.2a Advisor Intelligence Dashboard</t>
  </si>
  <si>
    <t>17584</t>
  </si>
  <si>
    <t>[QA] Advisor Intelligence Dashboard (Leadership View)</t>
  </si>
  <si>
    <t>16644</t>
  </si>
  <si>
    <t>6.3 Household Insights for Performance review dashboard</t>
  </si>
  <si>
    <t>16589</t>
  </si>
  <si>
    <t>6.3a Household Insights Dashboard - Leadership View</t>
  </si>
  <si>
    <t>17104</t>
  </si>
  <si>
    <t>Leadership dashboard - Household Insights - Implementation</t>
  </si>
  <si>
    <t>17583</t>
  </si>
  <si>
    <t>[QA] 6.3a Household Insights Dashboard</t>
  </si>
  <si>
    <t>17585</t>
  </si>
  <si>
    <t>[QA] Leadership dashboard - Household Insights</t>
  </si>
  <si>
    <t>17479</t>
  </si>
  <si>
    <t>Leadership Dashboard - Release &amp; Stabilization</t>
  </si>
  <si>
    <t>17480</t>
  </si>
  <si>
    <t>Leadership Dashboard - Bug fixes from QA</t>
  </si>
  <si>
    <t>17481</t>
  </si>
  <si>
    <t>Leadership Dashboard - QA testing</t>
  </si>
  <si>
    <t>15990</t>
  </si>
  <si>
    <t>Epic-7: Advisor Portal Section Dashboard and Design System</t>
  </si>
  <si>
    <t>16010</t>
  </si>
  <si>
    <t>Build Priority Actions Panel Framework</t>
  </si>
  <si>
    <t>16590</t>
  </si>
  <si>
    <t>Action Items &amp; Alerts Screen - Advisor Portal (Frontend)</t>
  </si>
  <si>
    <t>16632</t>
  </si>
  <si>
    <t>7.1 Advisor Home Dashboard Design and Development</t>
  </si>
  <si>
    <t>16006</t>
  </si>
  <si>
    <t>7.1a Advisor Dashboard Home Page (FE)</t>
  </si>
  <si>
    <t>16437</t>
  </si>
  <si>
    <t>7.1a Advisor Dashboard (BE) Integration</t>
  </si>
  <si>
    <t>16722</t>
  </si>
  <si>
    <t>7.1a Advisor Dashboard Integration - Completion</t>
  </si>
  <si>
    <t>17565</t>
  </si>
  <si>
    <t>[QA] 7.1a Advisor Dashboard Home Page (FE)</t>
  </si>
  <si>
    <t>17573</t>
  </si>
  <si>
    <t>[QA] 7.1a Advisor Dashboard Integration - Completion</t>
  </si>
  <si>
    <t>16633</t>
  </si>
  <si>
    <t>7.3 Household Management Dashboard Creation</t>
  </si>
  <si>
    <t>16005</t>
  </si>
  <si>
    <t>7.3a Create Household Management Dashboard (FE)</t>
  </si>
  <si>
    <t>16436</t>
  </si>
  <si>
    <t>Create Household Management Dashboard Home Page (BE) - Phase 1</t>
  </si>
  <si>
    <t>16723</t>
  </si>
  <si>
    <t>7.3b Household Management Home Page Integration - Completion</t>
  </si>
  <si>
    <t>16873</t>
  </si>
  <si>
    <t>7.3c Household Detail pages Integration</t>
  </si>
  <si>
    <t>17569</t>
  </si>
  <si>
    <t>[QA] 7.3b Household Management Home Page Integration</t>
  </si>
  <si>
    <t>17576</t>
  </si>
  <si>
    <t>[QA] 7.3c Household Detail pages Integration</t>
  </si>
  <si>
    <t>16634</t>
  </si>
  <si>
    <t>7.4 Portfolio Analytics Dashboard for Advisor</t>
  </si>
  <si>
    <t>16008</t>
  </si>
  <si>
    <t>7.4a Portfolio Analytics &amp; Allocation Intelligence Dashboard</t>
  </si>
  <si>
    <t>16724</t>
  </si>
  <si>
    <t>7.4b Portfolio Analytics Dashboard Integration</t>
  </si>
  <si>
    <t>17568</t>
  </si>
  <si>
    <t>[QA] 7.4a Portfolio Analytics Dashboard</t>
  </si>
  <si>
    <t>17575</t>
  </si>
  <si>
    <t>[QA] 7.4b Portfolio Analytics Dashboard Integration</t>
  </si>
  <si>
    <t>16635</t>
  </si>
  <si>
    <t>7.2 Market News and Portfolio Intelligence Dashboard</t>
  </si>
  <si>
    <t>Resolved</t>
  </si>
  <si>
    <t>16011</t>
  </si>
  <si>
    <t>Build Portfolio Intelligence Panel Placeholder</t>
  </si>
  <si>
    <t>17591</t>
  </si>
  <si>
    <t>[QA] Portfolio Intelligence Panel Placeholder</t>
  </si>
  <si>
    <t>17482</t>
  </si>
  <si>
    <t>Advisor Intelligence Dashboard - Release &amp; Stabilization</t>
  </si>
  <si>
    <t>17483</t>
  </si>
  <si>
    <t>Advisor Dashboard - Bug fixes from QA</t>
  </si>
  <si>
    <t>17484</t>
  </si>
  <si>
    <t>Advisor Dashboard - QA testing</t>
  </si>
  <si>
    <t>KPIs / charts / tables NOT surfaced in our Advisor &amp; Leadership dashboards  -  KPIs: 24 · Charts: 7 · Tables: 0</t>
  </si>
  <si>
    <t>ID</t>
  </si>
  <si>
    <t>Item</t>
  </si>
  <si>
    <t>Type</t>
  </si>
  <si>
    <t>Impact bucket</t>
  </si>
  <si>
    <t>Achievable</t>
  </si>
  <si>
    <t>Note</t>
  </si>
  <si>
    <t>KPI-004</t>
  </si>
  <si>
    <t>Average Account Size</t>
  </si>
  <si>
    <t>Exists in DB/logic doc but not surfaced in any Advisor/Leadership dashboard component.</t>
  </si>
  <si>
    <t>KPI-005</t>
  </si>
  <si>
    <t>Average Household AUM</t>
  </si>
  <si>
    <t>KPI-006</t>
  </si>
  <si>
    <t>Median Account Size</t>
  </si>
  <si>
    <t>KPI-010</t>
  </si>
  <si>
    <t>Advisor Account Count</t>
  </si>
  <si>
    <t>KPI-012</t>
  </si>
  <si>
    <t>Total Cash Holdings</t>
  </si>
  <si>
    <t>KPI-015</t>
  </si>
  <si>
    <t>Pending Cash Activity</t>
  </si>
  <si>
    <t>No</t>
  </si>
  <si>
    <t>KPI-021</t>
  </si>
  <si>
    <t>New Account Opens</t>
  </si>
  <si>
    <t>KPI-022</t>
  </si>
  <si>
    <t>Closed Accounts</t>
  </si>
  <si>
    <t>KPI-023</t>
  </si>
  <si>
    <t>Total Trade Count</t>
  </si>
  <si>
    <t>KPI-024</t>
  </si>
  <si>
    <t>Trade Volume ($)</t>
  </si>
  <si>
    <t>KPI-025</t>
  </si>
  <si>
    <t>Buy/Sell Ratio</t>
  </si>
  <si>
    <t>KPI-026</t>
  </si>
  <si>
    <t>Portfolio Turnover Rate</t>
  </si>
  <si>
    <t>KPI-027</t>
  </si>
  <si>
    <t>Average Trade Size</t>
  </si>
  <si>
    <t>KPI-028</t>
  </si>
  <si>
    <t>Commission/Fee per Trade</t>
  </si>
  <si>
    <t>KPI-039</t>
  </si>
  <si>
    <t>Unrealized Return %</t>
  </si>
  <si>
    <t>KPI-040</t>
  </si>
  <si>
    <t>Winners vs Losers Count</t>
  </si>
  <si>
    <t>KPI-044</t>
  </si>
  <si>
    <t>Billable AUM</t>
  </si>
  <si>
    <t>KPI-051</t>
  </si>
  <si>
    <t>Stale Accounts (No Activity)</t>
  </si>
  <si>
    <t>KPI-052</t>
  </si>
  <si>
    <t>Accounts Missing Household</t>
  </si>
  <si>
    <t>KPI-053</t>
  </si>
  <si>
    <t>Multi-Custodial Recon Breaks</t>
  </si>
  <si>
    <t>KPI-059</t>
  </si>
  <si>
    <t>Data Freshness</t>
  </si>
  <si>
    <t>Log Pipeline</t>
  </si>
  <si>
    <t>KPI-060</t>
  </si>
  <si>
    <t>Position Record Count</t>
  </si>
  <si>
    <t>KPI-061</t>
  </si>
  <si>
    <t>Transaction Load Volume</t>
  </si>
  <si>
    <t>KPI-062</t>
  </si>
  <si>
    <t>Missing Cost Basis %</t>
  </si>
  <si>
    <t>CHART-013</t>
  </si>
  <si>
    <t>Concentration Analysis — Top 10 Positions (Household Horizontal Bar Chart)</t>
  </si>
  <si>
    <t>Yes. Doubt</t>
  </si>
  <si>
    <t>Granular chart in logic doc; may be embedded in a page but not separately catalogued in our inventory.</t>
  </si>
  <si>
    <t>CHART-014</t>
  </si>
  <si>
    <t>Cash Analysis by Account (Household Bar Chart)</t>
  </si>
  <si>
    <t>Deriveable</t>
  </si>
  <si>
    <t>CHART-017</t>
  </si>
  <si>
    <t>Household AUM Trend (12-Month Area Chart)</t>
  </si>
  <si>
    <t>CHART-019</t>
  </si>
  <si>
    <t>AUM by Custodian — Advisor Book (Horizontal Bar Chart)</t>
  </si>
  <si>
    <t>CHART-025</t>
  </si>
  <si>
    <t>7-Day Pipeline Activity (Sparkbars by Day)</t>
  </si>
  <si>
    <t>Data-ops dashboard (Ingestion Monitor / Data Quality) - outside Advisor &amp; Leadership scope.</t>
  </si>
  <si>
    <t>CHART-026</t>
  </si>
  <si>
    <t>Data Freshness (Horizontal Bar Chart — Hours Since Last Load)</t>
  </si>
  <si>
    <t>CHART-027</t>
  </si>
  <si>
    <t>Data Quality Scorecard (Summary Pills + Detail Table)</t>
  </si>
  <si>
    <t>id</t>
  </si>
  <si>
    <t>display_name</t>
  </si>
  <si>
    <t>tables_used</t>
  </si>
  <si>
    <t>columns_used</t>
  </si>
  <si>
    <t>Reason</t>
  </si>
  <si>
    <t>SQL Query</t>
  </si>
  <si>
    <t>Insigneo Query</t>
  </si>
  <si>
    <t>Category</t>
  </si>
  <si>
    <t>UI Page</t>
  </si>
  <si>
    <t>Page 2</t>
  </si>
  <si>
    <t>fact_position; dim_account</t>
  </si>
  <si>
    <t>fact_position[market_value]; fact_position[position_date]; dim_account[account_status]; dim_account[is_current]</t>
  </si>
  <si>
    <t>SELECT SUM(p.market_value) AS total_aum
FROM fact_position p
JOIN dim_account a ON p.canonical_account_id = a.canonical_account_id
WHERE p.position_date = CURRENT_DATE
  AND a.account_status = 'ACTIVE'
  AND a.is_current = TRUE</t>
  </si>
  <si>
    <t>KPI-002</t>
  </si>
  <si>
    <t>AUM by Asset Class</t>
  </si>
  <si>
    <t>fact_position; dim_account; dim_security</t>
  </si>
  <si>
    <t>fact_position[market_value]; fact_position[asset_class]; fact_position[position_date]; dim_account[account_status]; dim_account[is_current]</t>
  </si>
  <si>
    <t>SELECT p.asset_class, SUM(p.market_value) AS aum
FROM fact_position p
JOIN dim_account a ON p.canonical_account_id = a.canonical_account_id
WHERE p.position_date = CURRENT_DATE
  AND a.account_status = 'ACTIVE'
  AND a.is_current = TRUE
GROUP BY p.asset_class
ORDER BY aum DESC</t>
  </si>
  <si>
    <t>SELECT s.asset_class, SUM(p.amount) AS aum
FROM positions p
JOIN financial_account a ON p.financial_account_id = a.financial_account_id
JOIN securities s on s.cusip = p.cusip
WHERE CAST(snapshot_date AS DATE) BETWEEN DATEADD(DAY, 1 - DATEPART(WEEKDAY, '2026-01-01'), '2026-01-01')
          AND DATEADD(DAY, 7 - DATEPART(WEEKDAY, '2026-01-01'), '2026-01-01')
  AND a.account_status_indicator = 'O'
  AND a.is_active = 1
GROUP BY s.asset_class
ORDER BY aum DESC</t>
  </si>
  <si>
    <t>KPI-003</t>
  </si>
  <si>
    <t>AUM by Custodian</t>
  </si>
  <si>
    <t>fact_position; dim_account; dim_custodian</t>
  </si>
  <si>
    <t>fact_position[market_value]; fact_position[position_date]; dim_account[account_status]; dim_account[is_current]; dim_account[custodian_key]; dim_custodian[custodian_short_name]</t>
  </si>
  <si>
    <t>SELECT p.source_custodian, SUM(p.market_value) AS aum
FROM fact_position p
WHERE p.position_date = CURRENT_DATE
GROUP BY p.source_custodian
ORDER BY aum DESC</t>
  </si>
  <si>
    <t>SELECT p.custodian, SUM(p.amount) AS aum
FROM positions p
WHERE CAST(p.snapshot_date AS DATE) BETWEEN DATEADD(DAY, 1 - DATEPART(WEEKDAY, '2026-01-01'), '2026-01-01')
          AND DATEADD(DAY, 7 - DATEPART(WEEKDAY, '2026-01-01'), '2026-01-01')
GROUP BY p.custodian
ORDER BY aum DESC</t>
  </si>
  <si>
    <t>fact_position[market_value]; fact_position[position_date]; dim_account[account_id]; dim_account[account_status]; dim_account[is_current]</t>
  </si>
  <si>
    <t>SELECT SUM(p.market_value) / NULLIF(COUNT(DISTINCT p.canonical_account_id), 0) AS avg_acct_size
FROM fact_position p
JOIN dim_account a ON p.canonical_account_id = a.canonical_account_id
WHERE p.position_date = CURRENT_DATE
  AND a.account_status = 'ACTIVE'
  AND a.is_current = TRUE</t>
  </si>
  <si>
    <t>SELECT SUM(p.amount) / NULLIF(COUNT(DISTINCT p.financial_account_id), 0) AS avg_acct_size
FROM positions p
JOIN financial_account a ON p.financial_account_id = a.financial_account_id
WHERE p.snapshot_date BETWEEN DATEADD(DAY, 1 - DATEPART(WEEKDAY, '2026-01-01'), '2026-01-01')
          AND DATEADD(DAY, 7 - DATEPART(WEEKDAY, '2026-01-01'), '2026-01-01')
  AND a.account_status_indicator = 'O'
  AND a.is_active = 1</t>
  </si>
  <si>
    <t>fact_position[market_value]; fact_position[position_date]; dim_account[account_id]; dim_account[household_id]; dim_account[account_status]; dim_account[is_current]</t>
  </si>
  <si>
    <t>SELECT SUM(p.market_value) / NULLIF(COUNT(DISTINCT a.household_id), 0) AS avg_hh_aum
FROM fact_position p
JOIN dim_account a ON p.canonical_account_id = a.canonical_account_id
WHERE p.position_date = CURRENT_DATE
  AND a.account_status = 'ACTIVE'
  AND a.is_current = TRUE
  AND a.household_id IS NOT NULL</t>
  </si>
  <si>
    <t>SELECT SUM(p.amount) / NULLIF(COUNT(DISTINCT h.house_hold_name), 0) AS avg_hh_aum
FROM positions p
JOIN financial_account a ON p.financial_account_id = a.financial_account_id
JOIN household_details h ON h.financial_account_id = a.financial_account_id
WHERE CAST(p.snapshot_date AS DATE) BETWEEN
          DATEADD(DAY, 1 - DATEPART(WEEKDAY, '2026-01-01'), '2026-01-01')
      AND DATEADD(DAY, 7 - DATEPART(WEEKDAY, '2026-01-01'), '2026-01-01')
  AND a.account_status_indicator = 'O'
  AND a.is_active = 1
  AND h.house_hold_name IS NOT NULL</t>
  </si>
  <si>
    <t>fact_position[market_value]; fact_position[position_date]; dim_account[account_id]; dim_account[account_status]</t>
  </si>
  <si>
    <t>SELECT PERCENTILE_CONT(0.5) WITHIN GROUP (ORDER BY acct_aum) AS median_acct_size
FROM (
  SELECT p.canonical_account_id, SUM(p.market_value) AS acct_aum
  FROM fact_position p
  JOIN dim_account a ON p.canonical_account_id = a.canonical_account_id
  WHERE p.position_date = CURRENT_DATE
    AND a.account_status = 'ACTIVE'
    AND a.is_current = TRUE
  GROUP BY p.canonical_account_id
) sub</t>
  </si>
  <si>
    <t>WITH acct_sizes AS (
    SELECT
        p.financial_account_id,
        SUM(p.amount) AS acct_aum
    FROM positions p
    JOIN financial_account a
        ON p.financial_account_id = a.financial_account_id
    WHERE CAST(p.snapshot_date AS DATE) BETWEEN
          DATEADD(DAY, 1 - DATEPART(WEEKDAY, '2026-01-01'), '2026-01-01')
      AND DATEADD(DAY, 7 - DATEPART(WEEKDAY, '2026-01-01'), '2026-01-01')
      AND a.account_status_indicator = 'O'
      AND a.is_active = 1
    GROUP BY p.financial_account_id
)
SELECT DISTINCT
    PERCENTILE_CONT(0.5) WITHIN GROUP (ORDER BY acct_aum) OVER () AS median_acct_size
FROM acct_sizes;</t>
  </si>
  <si>
    <t>Number of Accounts</t>
  </si>
  <si>
    <t>dim_account</t>
  </si>
  <si>
    <t>dim_account[account_id]; dim_account[account_status]; dim_account[is_current]</t>
  </si>
  <si>
    <t>SELECT COUNT(DISTINCT canonical_account_id) AS account_count
FROM dim_account
WHERE account_status = 'ACTIVE'
  AND is_current = TRUE</t>
  </si>
  <si>
    <t>Number of Households</t>
  </si>
  <si>
    <t>dim_account; dim_household</t>
  </si>
  <si>
    <t>dim_account[household_id]; dim_account[account_status]; dim_household[household_id]</t>
  </si>
  <si>
    <t>KPI-009</t>
  </si>
  <si>
    <t>Advisor Book Size (AUM)</t>
  </si>
  <si>
    <t>fact_position; dim_account; dim_advisor</t>
  </si>
  <si>
    <t>fact_position[market_value]; fact_position[position_date]; dim_account[account_status]; dim_account[is_current]; dim_account[advisor_id]</t>
  </si>
  <si>
    <t>SELECT a.advisor_id, SUM(p.market_value) AS advisor_aum
FROM fact_position p
JOIN dim_account a ON p.canonical_account_id = a.canonical_account_id
WHERE p.position_date = CURRENT_DATE
  AND a.account_status = 'ACTIVE'
  AND a.is_current = TRUE
GROUP BY a.advisor_id
ORDER BY advisor_aum DESC</t>
  </si>
  <si>
    <t>SELECT a.investment_professional_number, SUM(p.amount) AS advisor_aum
FROM positions p
JOIN financial_account a ON p.financial_account_id = a.financial_account_id
WHERE CAST(p.snapshot_date AS DATE) BETWEEN DATEADD(DAY, 1 - DATEPART(WEEKDAY, '2026-01-01'), '2026-01-01')
          AND DATEADD(DAY, 7 - DATEPART(WEEKDAY, '2026-01-01'), '2026-01-01')
  AND a.account_status_indicator = 'O'
  AND a.is_active = 1
GROUP BY a.investment_professional_number
ORDER BY advisor_aum DESC</t>
  </si>
  <si>
    <t>dim_account; dim_advisor</t>
  </si>
  <si>
    <t>dim_account[account_id]; dim_account[account_status]; dim_account[is_current]; dim_account[advisor_id]</t>
  </si>
  <si>
    <t>SELECT a.advisor_id, COUNT(DISTINCT a.canonical_account_id) AS acct_count
FROM dim_account a
WHERE a.account_status = 'ACTIVE'
  AND a.is_current = TRUE
GROUP BY a.advisor_id
ORDER BY acct_count DESC</t>
  </si>
  <si>
    <t>SELECT a.investment_professional_number, COUNT(DISTINCT a.financial_account_id) AS acct_count
FROM financial_account a
WHERE a.account_status_indicator = 'O'
  AND a.is_active = 1
GROUP BY a.investment_professional_number
ORDER BY acct_count DESC</t>
  </si>
  <si>
    <t>Cash Percentage</t>
  </si>
  <si>
    <t>fact_cash_balance; fact_position; dim_account</t>
  </si>
  <si>
    <t>fact_cash_balance[total_cash_equivalent]; fact_cash_balance[balance_date]; fact_position[market_value]; fact_position[position_date]; dim_account[account_id]; dim_account[account_status]</t>
  </si>
  <si>
    <t>fact_cash_balance; dim_account</t>
  </si>
  <si>
    <t>fact_cash_balance[total_cash_equivalent]; fact_cash_balance[balance_date]; dim_account[account_status]; dim_account[is_current]</t>
  </si>
  <si>
    <t>Idle Cash (Excess Cash)</t>
  </si>
  <si>
    <t>fact_cash_balance[total_cash_equivalent]; fact_cash_balance[balance_date]; fact_position[market_value]; dim_account[account_status]; dim_account[is_current]</t>
  </si>
  <si>
    <t>Cash Drag</t>
  </si>
  <si>
    <t>fact_cash_balance[total_cash_equivalent]; fact_cash_balance[balance_date]; fact_position[market_value]; dim_account[account_status]</t>
  </si>
  <si>
    <t>KPI-041</t>
  </si>
  <si>
    <t>Realized Gain/Loss (Period)</t>
  </si>
  <si>
    <t>fact_transaction</t>
  </si>
  <si>
    <t>fact_transaction[txn_type]; fact_transaction[gross_amount]</t>
  </si>
  <si>
    <t>SELECT
  a.household_id,
  SUM(t.net_amount - t.cost_basis_sold)                            AS realized_gain_loss,
  SUM(CASE WHEN t.net_amount - t.cost_basis_sold &gt; 0
           THEN t.net_amount - t.cost_basis_sold ELSE 0 END)       AS realized_gains,
  SUM(CASE WHEN t.net_amount - t.cost_basis_sold &lt; 0
           THEN t.net_amount - t.cost_basis_sold ELSE 0 END)       AS realized_losses
FROM fact_transaction t
JOIN dim_account a ON t.canonical_account_id = a.canonical_account_id
WHERE t.txn_type = 'SELL'
  AND t.trade_date BETWEEN @start_date AND @end_date
  AND t.is_cancelled = FALSE
  AND a.account_status = 'ACTIVE' AND a.is_current = TRUE
GROUP BY a.household_id</t>
  </si>
  <si>
    <t>Net New Assets (NNA)</t>
  </si>
  <si>
    <t>fact_transaction; dim_account</t>
  </si>
  <si>
    <t>fact_transaction[net_amount]; fact_transaction[txn_type]; fact_transaction[trade_date]; fact_transaction[is_cancelled]; dim_account[account_status]</t>
  </si>
  <si>
    <t>SELECT
  SUM(CASE WHEN t.txn_type IN ('CONTRIBUTION','TRANSFER_IN') THEN t.net_amount ELSE 0 END)
  - SUM(CASE WHEN t.txn_type IN ('DISTRIBUTION','TRANSFER_OUT') THEN ABS(t.net_amount) ELSE 0 END)
  AS net_new_assets
FROM fact_transaction t
JOIN dim_account a ON t.canonical_account_id = a.canonical_account_id
WHERE t.trade_date BETWEEN @start_date AND @end_date
  AND t.is_cancelled = FALSE</t>
  </si>
  <si>
    <t>('RFF', 'CSR', --cash in(value in -ve)
'SFF','PCC') -- cash out(value in +ve)
SELECT
  SUM(CASE WHEN t.transaction_code IN ('CONTRIBUTION','TRANSFER_IN', 'RFF', 'CSR') THEN ABS(t.amount) ELSE 0 END)
  - SUM(CASE WHEN t.transaction_code IN ('DISTRIBUTION','TRANSFER_OUT', 'SFF','PCC') THEN (t.amount) ELSE 0 END)
  AS net_new_assets
FROM transactions t
JOIN financial_account a ON t.financial_account_id = a.financial_account_id
WHERE CAST(t.transaction_date AS DATE) BETWEEN '2026-01-01' AND '2026-01-31'
  AND t.cancel_code = 0</t>
  </si>
  <si>
    <t>KPI-017</t>
  </si>
  <si>
    <t>Gross Inflows</t>
  </si>
  <si>
    <t>fact_transaction[net_amount]; fact_transaction[txn_type]; fact_transaction[trade_date]; fact_transaction[is_cancelled]</t>
  </si>
  <si>
    <t>SELECT SUM(t.net_amount) AS gross_inflows
FROM fact_transaction t
WHERE t.txn_type IN ('CONTRIBUTION','TRANSFER_IN')
  AND t.trade_date BETWEEN @start_date AND @end_date
  AND t.is_cancelled = FALSE</t>
  </si>
  <si>
    <t>SELECT ABS(SUM(t.amount)) AS gross_inflows
FROM transactions t
WHERE t.transaction_code IN ('CONTRIBUTION','TRANSFER_IN', 'RFF', 'CSR')
  AND CAST(t.transaction_date AS DATE) BETWEEN '2026-01-01' AND '2026-01-31'
  AND t.cancel_code = 0</t>
  </si>
  <si>
    <t>KPI-018</t>
  </si>
  <si>
    <t>Gross Outflows</t>
  </si>
  <si>
    <t>SELECT SUM(ABS(t.net_amount)) AS gross_outflows
FROM fact_transaction t
WHERE t.txn_type IN ('DISTRIBUTION','TRANSFER_OUT')
  AND t.trade_date BETWEEN @start_date AND @end_date
  AND t.is_cancelled = FALSE</t>
  </si>
  <si>
    <t>SELECT SUM(ABS(t.amount)) AS gross_outflows
FROM transactions t
WHERE t.transaction_code IN ('DISTRIBUTION', 'TRANSFER_OUT', 'SFF','PCC')
  AND CAST(t.transaction_date AS DATE) BETWEEN '2026-01-01' AND '2026-01-31'
  AND t.cancel_code = 0</t>
  </si>
  <si>
    <t>fact_transaction; fact_position</t>
  </si>
  <si>
    <t>fact_transaction[net_amount]; fact_transaction[txn_type]; fact_transaction[trade_date]; fact_transaction[is_cancelled]; fact_position[market_value]; fact_position[position_date]</t>
  </si>
  <si>
    <t>WITH beg AS (
  SELECT SUM(p.market_value) AS beg_aum
  FROM fact_position p
  JOIN dim_account a ON p.canonical_account_id = a.canonical_account_id
  WHERE p.position_date = @start_date
    AND a.account_status = 'ACTIVE'
    AND a.is_current = TRUE
),
nna AS (
  SELECT
    SUM(CASE WHEN txn_type IN ('CONTRIBUTION','TRANSFER_IN') THEN net_amount ELSE 0 END)
    - SUM(CASE WHEN txn_type IN ('DISTRIBUTION','TRANSFER_OUT') THEN ABS(net_amount) ELSE 0 END) AS nna
  FROM fact_transaction
  WHERE trade_date BETWEEN @start_date AND @end_date
    AND is_cancelled = FALSE
)
SELECT (nna.nna / NULLIF(beg.beg_aum, 0)) * (12.0 / @months) * 100 AS organic_growth_rate
FROM beg, nna</t>
  </si>
  <si>
    <t>Client Retention Rate (Asset)</t>
  </si>
  <si>
    <t>fact_position; fact_transaction</t>
  </si>
  <si>
    <t>fact_position[market_value]; fact_position[position_date]; fact_transaction[net_amount]; fact_transaction[txn_type]; fact_transaction[trade_date]; fact_transaction[is_cancelled]</t>
  </si>
  <si>
    <t>SELECT (beg.beg_aum - COALESCE(out.outflows, 0)) / NULLIF(beg.beg_aum, 0) * 100 AS retention_rate
FROM (
  SELECT SUM(market_value) AS beg_aum FROM fact_position
  WHERE position_date = @start_date
) beg,
(
  SELECT SUM(ABS(net_amount)) AS outflows FROM fact_transaction
  WHERE txn_type IN ('DISTRIBUTION','TRANSFER_OUT')
    AND trade_date BETWEEN @start_date AND @end_date
    AND is_cancelled = FALSE
) out</t>
  </si>
  <si>
    <t>dim_account[account_id]; dim_account[open_date]; dim_account[is_current]</t>
  </si>
  <si>
    <t>SELECT COUNT(*) AS new_accounts
FROM dim_account
WHERE open_date BETWEEN @start_date AND @end_date
  AND is_current = TRUE</t>
  </si>
  <si>
    <t>SELECT COUNT(*) AS new_accounts
FROM financial_account
WHERE CAST(date_account_opened AS DATE) BETWEEN '2026-01-01' AND '2026-01-31' AND is_active=1</t>
  </si>
  <si>
    <t>dim_account[account_id]; dim_account[close_date]</t>
  </si>
  <si>
    <t>SELECT COUNT(*) AS closed_accounts
FROM dim_account
WHERE close_date BETWEEN @start_date AND @end_date</t>
  </si>
  <si>
    <t>SELECT COUNT(*) AS closed_accounts
FROM financial_account
WHERE CAST(date_account_closed AS DATE) BETWEEN '2026-01-01' AND '2026-01-31'</t>
  </si>
  <si>
    <t>fact_transaction[txn_type]; fact_transaction[is_cancelled]; fact_transaction[trade_date]</t>
  </si>
  <si>
    <t>SELECT COUNT(*) AS trade_count
FROM fact_transaction
WHERE txn_type IN ('BUY','SELL')
  AND trade_date BETWEEN @start_date AND @end_date
  AND is_cancelled = FALSE</t>
  </si>
  <si>
    <t>SELECT COUNT(*) AS trade_count
FROM transactions
WHERE transaction_type IN ('buy','sell')
  AND CAST(transaction_date AS DATE) BETWEEN '2026-01-01' AND '2026-01-31'
  AND cancel_code = 0</t>
  </si>
  <si>
    <t>fact_transaction[gross_amount]; fact_transaction[txn_type]; fact_transaction[is_cancelled]</t>
  </si>
  <si>
    <t>SELECT SUM(ABS(t.gross_amount)) AS trade_volume
FROM fact_transaction t
WHERE t.txn_type IN ('BUY','SELL')
  AND t.trade_date BETWEEN @start_date AND @end_date
  AND t.is_cancelled = FALSE</t>
  </si>
  <si>
    <t>SELECT SUM(ABS(t.amount)) AS trade_volume
FROM transactions t
WHERE t.transaction_type IN ('buy','sell')
  AND CAST(t.transaction_date AS DATE) BETWEEN '2026-01-01' AND '2026-01-31'
  AND t.cancel_code = 0</t>
  </si>
  <si>
    <t>SELECT
  SUM(CASE WHEN txn_type = 'BUY' THEN ABS(gross_amount) ELSE 0 END) /
  NULLIF(SUM(CASE WHEN txn_type = 'SELL' THEN ABS(gross_amount) ELSE 0 END), 0) AS buy_sell_ratio
FROM fact_transaction
WHERE txn_type IN ('BUY','SELL')
  AND trade_date BETWEEN @start_date AND @end_date
  AND is_cancelled = FALSE</t>
  </si>
  <si>
    <t>SELECT
  SUM(CASE WHEN transaction_type = 'buy' THEN ABS(amount) ELSE 0 END) /
  NULLIF(SUM(CASE WHEN transaction_type = 'sell' THEN ABS(amount) ELSE 0 END), 0) AS buy_sell_ratio
FROM transactions
WHERE transaction_type IN ('buy','sell')
  AND CAST(transaction_date AS DATE) BETWEEN '2026-01-01' AND '2026-01-31'
  AND cancel_code = 0</t>
  </si>
  <si>
    <t>fact_transaction[gross_amount]; fact_transaction[txn_type]; fact_transaction[is_cancelled]; fact_position[market_value]; fact_position[position_date]</t>
  </si>
  <si>
    <t>WITH trade_sides AS (
  SELECT
    SUM(CASE WHEN txn_type = 'BUY' THEN ABS(gross_amount) ELSE 0 END) AS total_buys,
    SUM(CASE WHEN txn_type = 'SELL' THEN ABS(gross_amount) ELSE 0 END) AS total_sells
  FROM fact_transaction
  WHERE txn_type IN ('BUY','SELL')
    AND trade_date BETWEEN @start_date AND @end_date
    AND is_cancelled = FALSE
),
avg_aum AS (
  SELECT AVG(daily_aum) AS avg_aum FROM (
    SELECT position_date, SUM(market_value) AS daily_aum
    FROM fact_position
    WHERE position_date BETWEEN @start_date AND @end_date
    GROUP BY position_date
  ) sub
)
SELECT LEAST(total_buys, total_sells) / NULLIF(avg_aum.avg_aum, 0) * (12.0 / @months) * 100 AS turnover_rate
FROM trade_sides, avg_aum</t>
  </si>
  <si>
    <t>SELECT SUM(ABS(t.gross_amount)) / NULLIF(COUNT(*), 0) AS avg_trade_size
FROM fact_transaction t
WHERE t.txn_type IN ('BUY','SELL')
  AND t.trade_date BETWEEN @start_date AND @end_date
  AND t.is_cancelled = FALSE</t>
  </si>
  <si>
    <t>SELECT SUM(ABS(t.amount)) / NULLIF(COUNT(*), 0) AS avg_trade_size
FROM transactions t
WHERE t.transaction_type IN ('buy','sell')
  AND CAST(t.transaction_date AS DATE) BETWEEN '2026-01-01' AND '2026-01-31'
  AND t.cancel_code = 0</t>
  </si>
  <si>
    <t>fact_transaction[commission]; fact_transaction[fees]; fact_transaction[txn_type]; fact_transaction[is_cancelled]</t>
  </si>
  <si>
    <t>SELECT SUM(t.commission + t.fees) / NULLIF(COUNT(*), 0) AS fee_per_trade
FROM fact_transaction t
WHERE t.txn_type IN ('BUY','SELL')
  AND t.trade_date BETWEEN @start_date AND @end_date
  AND t.is_cancelled = FALSE</t>
  </si>
  <si>
    <t xml:space="preserve">SELECT SUM(net_commission) / NULLIF(COUNT(distinct trade_id), 0) AS fee_per_trade
FROM fa_commission
WHERE CAST(t.transaction_date AS DATE) BETWEEN '2026-01-01' AND '2026-01-31'
</t>
  </si>
  <si>
    <t>KPI-029</t>
  </si>
  <si>
    <t>Dividend/Interest Income</t>
  </si>
  <si>
    <t>fact_transaction[net_amount]; fact_transaction[txn_type]; fact_transaction[is_cancelled]</t>
  </si>
  <si>
    <t>SELECT SUM(t.net_amount) AS div_int_income
FROM fact_transaction t
WHERE t.txn_type IN ('DIVIDEND','INTEREST')
  AND t.trade_date BETWEEN @start_date AND @end_date
  AND t.is_cancelled = FALSE</t>
  </si>
  <si>
    <t>SELECT SUM(t.amount) AS div_int_income
FROM transactions t
WHERE t.txn_type IN ('DIVIDEND','INTEREST')
  AND CAST(t.transaction_date AS DATE) BETWEEN '2026-01-01' AND '2026-01-31'
  AND t.cancel_code = 0</t>
  </si>
  <si>
    <t>KPI-030</t>
  </si>
  <si>
    <t>Equity Allocation %</t>
  </si>
  <si>
    <t>fact_position[market_value]; fact_position[asset_class]; fact_position[position_date]; dim_account[account_status]</t>
  </si>
  <si>
    <t>SELECT
  SUM(CASE WHEN p.asset_class IN ('US_EQUITY','INTL_EQUITY_DM','INTL_EQUITY_EM')
      THEN p.market_value ELSE 0 END) /
  NULLIF(SUM(p.market_value), 0) * 100 AS equity_pct
FROM fact_position p
JOIN dim_account a ON p.canonical_account_id = a.canonical_account_id
WHERE p.position_date = CURRENT_DATE
  AND a.account_status = 'ACTIVE'
  AND a.is_current = TRUE</t>
  </si>
  <si>
    <t>SELECT
  SUM(CASE WHEN s.asset_class IN ('Equity')
      THEN p.amount ELSE 0 END) /
  NULLIF(SUM(p.amount), 0) * 100 AS equity_pct
FROM positions p
JOIN financial_account a ON p.financial_account_id = a.financial_account_id
JOIN securities s ON s.cusip = p.cusip
WHERE CAST(snapshot_date as DATE) BETWEEN DATEADD(DAY, 1 - DATEPART(WEEKDAY, '2026-01-01'), '2026-01-01')
          AND DATEADD(DAY, 7 - DATEPART(WEEKDAY, '2026-01-01'), '2026-01-01')
  AND a.account_status_indicator = 'O'
  AND a.is_active = 1</t>
  </si>
  <si>
    <t>KPI-031</t>
  </si>
  <si>
    <t>Fixed Income Allocation %</t>
  </si>
  <si>
    <t>SELECT
  SUM(CASE WHEN p.asset_class IN ('FIXED_INCOME_GOVT','FIXED_INCOME_CORP')
      THEN p.market_value ELSE 0 END) /
  NULLIF(SUM(p.market_value), 0) * 100 AS fi_pct
FROM fact_position p
JOIN dim_account a ON p.canonical_account_id = a.canonical_account_id
WHERE p.position_date = CURRENT_DATE
  AND a.account_status = 'ACTIVE'
  AND a.is_current = TRUE</t>
  </si>
  <si>
    <t>SELECT
  SUM(CASE WHEN s.asset_class IN ('Fixed Income')
      THEN p.amount ELSE 0 END) /
  NULLIF(SUM(p.amount), 0) * 100 AS fi_pct
FROM positions p
JOIN financial_account a ON p.financial_account_id = a.financial_account_id
JOIN securities s ON s.cusip = p.cusip
WHERE CAST(snapshot_date AS DATE) BETWEEN DATEADD(DAY, 1 - DATEPART(WEEKDAY, '2026-01-01'), '2026-01-01')
          AND DATEADD(DAY, 7 - DATEPART(WEEKDAY, '2026-01-01'), '2026-01-01')
  AND a.account_status_indicator = 'O'
  AND a.is_active = 1</t>
  </si>
  <si>
    <t>KPI-032</t>
  </si>
  <si>
    <t>Alternative Allocation %</t>
  </si>
  <si>
    <t>SELECT
  SUM(CASE WHEN p.asset_class = 'ALTERNATIVES' THEN p.market_value ELSE 0 END) /
  NULLIF(SUM(p.market_value), 0) * 100 AS alt_pct
FROM fact_position p
JOIN dim_account a ON p.canonical_account_id = a.canonical_account_id
WHERE p.position_date = CURRENT_DATE
  AND a.account_status = 'ACTIVE'
  AND a.is_current = TRUE</t>
  </si>
  <si>
    <t>SELECT
  SUM(CASE WHEN s.asset_class = 'Alternative Investments' THEN p.amount ELSE 0 END) /
  NULLIF(SUM(p.amount), 0) * 100 AS alt_pct
FROM positions p
JOIN financial_account a ON p.financial_account_id = a.financial_account_id
JOIN securities s on s.cusip = p.cusip
WHERE CAST(p.snapshot_date AS DATE) BETWEEN DATEADD(DAY, 1 - DATEPART(WEEKDAY, '2026-01-01'), '2026-01-01')
          AND DATEADD(DAY, 7 - DATEPART(WEEKDAY, '2026-01-01'), '2026-01-01')
  AND a.account_status_indicator = 'O'
  AND a.is_active = 1</t>
  </si>
  <si>
    <t>KPI-033</t>
  </si>
  <si>
    <t>Number of Positions</t>
  </si>
  <si>
    <t>fact_position[cusip]; fact_position[position_date]; dim_account[account_id]; dim_account[account_status]</t>
  </si>
  <si>
    <t>SELECT a.canonical_account_id, COUNT(DISTINCT p.cusip) AS position_count
FROM fact_position p
JOIN dim_account a ON p.canonical_account_id = a.canonical_account_id
WHERE p.position_date = CURRENT_DATE
  AND a.account_status = 'ACTIVE'
  AND a.is_current = TRUE
GROUP BY a.canonical_account_id</t>
  </si>
  <si>
    <t>SELECT a.financial_account_id, COUNT(DISTINCT p.cusip) AS position_count
FROM positions p
JOIN financial_account a ON p.financial_account_id = a.financial_account_id
WHERE CAST(p.snapshot_date AS DATE) BETWEEN DATEADD(DAY, 1 - DATEPART(WEEKDAY, '2026-01-01'), '2026-01-01')
          AND DATEADD(DAY, 7 - DATEPART(WEEKDAY, '2026-01-01'), '2026-01-01')
  AND a.account_status_indicator = 'O'
  AND a.is_active = 1
GROUP BY a.financial_account_id</t>
  </si>
  <si>
    <t>Top 10 Concentration %</t>
  </si>
  <si>
    <t>fact_position[market_value]; fact_position[cusip]; fact_position[position_date]; dim_account[advisor_id]; dim_account[account_status]</t>
  </si>
  <si>
    <t>WITH ranked AS (
  SELECT p.cusip, p.market_value,
    ROW_NUMBER() OVER (ORDER BY p.market_value DESC) AS rn
  FROM fact_position p
  WHERE p.position_date = CURRENT_DATE
)
SELECT
  SUM(CASE WHEN rn &lt;= 10 THEN market_value ELSE 0 END) /
  NULLIF(SUM(market_value), 0) * 100 AS top10_pct
FROM ranked</t>
  </si>
  <si>
    <t>WITH ranked AS (
  SELECT p.cusip, p.amount,
    ROW_NUMBER() OVER (ORDER BY p.amount DESC) AS rn
  FROM positions p
  WHERE  p.snapshot_date BETWEEN DATEADD(DAY, 1 - DATEPART(WEEKDAY, '2026-01-01'), '2026-01-01')
          AND DATEADD(DAY, 7 - DATEPART(WEEKDAY, '2026-01-01'), '2026-01-01')
)
SELECT
  SUM(CASE WHEN rn &lt;= 10 THEN amount ELSE 0 END) /
  NULLIF(SUM(amount), 0) * 100 AS top10_pct
FROM ranked</t>
  </si>
  <si>
    <t>Single Position Concentration</t>
  </si>
  <si>
    <t>fact_position</t>
  </si>
  <si>
    <t>fact_position[market_value]; fact_position[position_date]</t>
  </si>
  <si>
    <t>SELECT MAX(p.market_value) / NULLIF(SUM(p.market_value), 0) * 100 AS max_concentration
FROM fact_position p
WHERE p.position_date = CURRENT_DATE</t>
  </si>
  <si>
    <t>SELECT MAX(p.amount) / NULLIF(SUM(p.amount), 0) * 100 AS max_concentration, 
       DATEADD(DAY, 1 - DATEPART(WEEKDAY,'2026-01-01'), '2026-01-01') AS start_date,
       DATEADD(DAY, 7 - DATEPART(WEEKDAY, '2026-01-01'), '2026-01-01') AS end_date
FROM positions p
WHERE CAST(p.snapshot_date AS DATE) BETWEEN DATEADD(DAY, 1 - DATEPART(WEEKDAY, '2026-01-01'), '2026-01-01')
          AND DATEADD(DAY, 7 - DATEPART(WEEKDAY, '2026-01-01'), '2026-01-01');</t>
  </si>
  <si>
    <t>Effective Fee Rate (bps)</t>
  </si>
  <si>
    <t>fact_billing_event; fact_position; dim_account</t>
  </si>
  <si>
    <t>fact_billing_event[net_fee]; fact_billing_event[billing_period_start]; fact_billing_event[billing_period_end]; fact_position[market_value]; fact_position[position_date]; dim_account[account_status]</t>
  </si>
  <si>
    <t>KPI-047</t>
  </si>
  <si>
    <t>Revenue per Advisor</t>
  </si>
  <si>
    <t>fact_billing_event; dim_account; dim_advisor</t>
  </si>
  <si>
    <t>fact_billing_event[net_fee]; fact_billing_event[billing_period_start]; fact_billing_event[billing_period_end]; dim_account[advisor_id]; dim_account[is_current]</t>
  </si>
  <si>
    <t>KPI-048</t>
  </si>
  <si>
    <t>Revenue per Household</t>
  </si>
  <si>
    <t>fact_billing_event</t>
  </si>
  <si>
    <t>fact_billing_event[net_fee]; fact_billing_event[billing_period_start]; fact_billing_event[billing_period_end]; fact_billing_event[household_id]</t>
  </si>
  <si>
    <t>High Cash Accounts</t>
  </si>
  <si>
    <t>fact_cash_balance[total_cash_equivalent]; fact_cash_balance[balance_date]; fact_position[market_value]; fact_position[position_date]; dim_account[account_id]</t>
  </si>
  <si>
    <t>fact_position[account_id]; fact_position[cusip]; fact_position[market_value]; fact_position[source_custodian]; fact_position[position_date]</t>
  </si>
  <si>
    <t>KPI-057</t>
  </si>
  <si>
    <t>Advisor Revenue Rank</t>
  </si>
  <si>
    <t>fact_cash_balance</t>
  </si>
  <si>
    <t>fact_cash_balance[pending_amount]; fact_cash_balance[settlement_status]; fact_cash_balance[balance_date]</t>
  </si>
  <si>
    <t>Due to 2 columns 'fact_cash_balance[pending_amount]', 'fact_cash_balance[settlement_status]'</t>
  </si>
  <si>
    <t>International Exposure %</t>
  </si>
  <si>
    <t>fact_position; dim_security</t>
  </si>
  <si>
    <t>fact_position[market_value]; fact_position[cusip]; fact_position[position_date]; dim_security[country]</t>
  </si>
  <si>
    <t>Due to 1 column 'dim_security[country]'</t>
  </si>
  <si>
    <t>Unrealized Gain/Loss</t>
  </si>
  <si>
    <t>fact_position[unrealized_gain_loss]; fact_position[position_date]; dim_account[account_status]; dim_account[is_current]</t>
  </si>
  <si>
    <t>Due to 1 column 'fact_position[unrealized_gain_loss]'</t>
  </si>
  <si>
    <t>fact_position[unrealized_gain_loss]; fact_position[position_date]</t>
  </si>
  <si>
    <t>Tax Loss Harvest Opportunity</t>
  </si>
  <si>
    <t>fact_position[unrealized_gain_loss]; fact_position[position_date]; dim_account[tax_status]; dim_account[account_status]; dim_account[is_current]</t>
  </si>
  <si>
    <t>KPI-067</t>
  </si>
  <si>
    <t>Effective Fee Rate by AUM Tier (bps)</t>
  </si>
  <si>
    <t>fact_billing_event; fact_position; dim_account; dim_fee_schedule</t>
  </si>
  <si>
    <t>fact_billing_event[net_fee]; fact_billing_event[billing_period_start]; fact_position[market_value]; fact_position[position_date]; dim_fee_schedule[tier_1_rate_bps]; dim_account[fee_schedule_id]; dim_account[household_id]</t>
  </si>
  <si>
    <t>Due to 2 columns 'dim_fee_schedule[tier_1_rate_bps]', 'dim_account[fee_schedule_id]'</t>
  </si>
  <si>
    <t>Performance Summary (Multi-Period Table)</t>
  </si>
  <si>
    <t>SELECT
  fp.period_type,
  SUM(fp.twr_return * da.aum) / NULLIF(SUM(da.aum), 0)       AS twr_return,
  SUM(fp.benchmark_return * da.aum) / NULLIF(SUM(da.aum), 0) AS benchmark_return,
  SUM(fp.alpha * da.aum) / NULLIF(SUM(da.aum), 0)            AS alpha
FROM gold.fact_performance fp
JOIN gold.dim_account da ON fp.canonical_account_id = da.canonical_account_id
WHERE da.advisor_id = :advisor_id
  AND fp.period_type IN ('MTD','QTD','YTD','1YR')
  AND fp.period_end_date = (SELECT MAX(period_end_date) FROM gold.fact_performance)
GROUP BY fp.period_type;</t>
  </si>
  <si>
    <t>Portfolio Analytics Page</t>
  </si>
  <si>
    <t>Accounts Over Concentration Limit</t>
  </si>
  <si>
    <t>WITH acct_concentration AS (
  SELECT p.canonical_account_id,
    MAX(p.market_value) / NULLIF(SUM(p.market_value), 0) * 100 AS max_pct
  FROM fact_position p
  WHERE p.position_date = CURRENT_DATE
  GROUP BY p.canonical_account_id
)
SELECT COUNT(*) AS over_limit
FROM acct_concentration
WHERE max_pct &gt; 10</t>
  </si>
  <si>
    <t>WITH acct_concentration AS (
  SELECT p.financial_account_id,
    MAX(p.amount) / NULLIF(SUM(p.amount), 0) * 100 AS max_pct
  FROM positions p
  WHERE CAST(p.snapshot_date AS DATE) BETWEEN DATEADD(DAY, 1 - DATEPART(WEEKDAY, '2026-01-01'), '2026-01-01')
          AND DATEADD(DAY, 7 - DATEPART(WEEKDAY, '2026-01-01'), '2026-01-01')
  GROUP BY p.financial_account_id
)
SELECT COUNT(*) AS over_limit
FROM acct_concentration
WHERE max_pct &gt; 10</t>
  </si>
  <si>
    <t>CHART-012</t>
  </si>
  <si>
    <t>Risk Metric Stat Cards × 4</t>
  </si>
  <si>
    <t>SELECT
  SUM(f.top10_concentration_pct * f.total_aum) / NULLIF(SUM(f.total_aum), 0) AS top10_concentration_pct,
  MAX(f.top_position_pct)                                                      AS single_position_max_pct,
  MAX(CASE WHEN f.top_position_pct = (
        SELECT MAX(top_position_pct)
        FROM gold.fact_client_360 f2
        JOIN gold.dim_household dh2 ON f2.household_id = dh2.household_id
        WHERE dh2.primary_advisor_id = :advisor_id
          AND f2.snapshot_date = (SELECT MAX(snapshot_date) FROM gold.fact_client_360)
      ) THEN f.top_position_ticker END)                                        AS single_position_ticker,
  -- Cash Drag bps = weighted avg cash% × assumed 5% annual return × 100
  SUM(f.cash_pct * f.total_aum) / NULLIF(SUM(f.total_aum), 0) * 5 * 100     AS cash_drag_bps,
  SUM(f.intl_pct * f.total_aum) / NULLIF(SUM(f.total_aum), 0)                AS intl_exposure_pct
FROM gold.fact_client_360 f
JOIN gold.dim_household dh ON f.household_id = dh.household_id
WHERE dh.primary_advisor_id = :advisor_id
  AND f.snapshot_date = (SELECT MAX(snapshot_date) FROM gold.fact_client_360);</t>
  </si>
  <si>
    <t>dim_account; fact_transaction</t>
  </si>
  <si>
    <t>dim_account[account_id]; dim_account[account_status]; dim_account[is_current]; fact_transaction[trade_date]; fact_transaction[txn_type]; fact_transaction[is_cancelled]</t>
  </si>
  <si>
    <t>SELECT COUNT(DISTINCT a.canonical_account_id) AS stale_accounts
FROM dim_account a
LEFT JOIN (
  SELECT canonical_account_id, MAX(trade_date) AS last_trade
  FROM fact_transaction
  WHERE txn_type IN ('BUY','SELL') AND is_cancelled = FALSE
  GROUP BY canonical_account_id
) t ON a.canonical_account_id = t.canonical_account_id
WHERE a.account_status = 'ACTIVE'
  AND a.is_current = TRUE
  AND (t.last_trade IS NULL OR t.last_trade &lt; CURRENT_DATE - INTERVAL '90 days')</t>
  </si>
  <si>
    <t>SELECT COUNT(DISTINCT a.financial_account_id) AS stale_accounts
FROM financial_account a
LEFT JOIN (
  SELECT financial_account_id, MAX(transaction_date) AS last_trade
  FROM transactions
  WHERE transaction_type IN ('buy','sell') AND cancel_code = 0
  GROUP BY financial_account_id
) t ON a.financial_account_id = t.financial_account_id
WHERE a.account_status_indicator = 'O'
  AND a.is_active = 1
  AND (t.last_trade IS NULL OR t.last_trade &lt; DATEADD(DAY, -90, CAST('2026-01-01' AS DATE)));</t>
  </si>
  <si>
    <t>dim_account[account_id]; dim_account[household_id]; dim_account[account_status]; dim_account[is_current]</t>
  </si>
  <si>
    <t>SELECT COUNT(*) AS missing_household
FROM dim_account
WHERE account_status = 'ACTIVE'
  AND is_current = TRUE
  AND household_id IS NULL</t>
  </si>
  <si>
    <t>SELECT COUNT(*) AS missing_household
FROM financial_account f
JOIN household_details h ON h.financial_account_id = f.financial_account_id
WHERE f.account_status_indicator = 'O'
  AND f.is_active = 1
  AND h.house_hold_name IS NULL</t>
  </si>
  <si>
    <t>SELECT
  da.account_name,
  da.canonical_account_id,
  fcb.total_cash_equivalent                                          AS cash_balance,
  ROUND(fcb.total_cash_equivalent / NULLIF(da.aum, 0) * 100, 1)     AS cash_pct
FROM gold.fact_cash_balance fcb
JOIN gold.dim_account da ON fcb.canonical_account_id = da.canonical_account_id
WHERE fcb.household_id = :household_id
  AND fcb.balance_date = (SELECT MAX(balance_date) FROM gold.fact_cash_balance WHERE household_id = :household_id)
ORDER BY fcb.total_cash_equivalent DESC;</t>
  </si>
  <si>
    <t>Household Detail (Analytics + Overview Tab)</t>
  </si>
  <si>
    <t>AUM per Advisor</t>
  </si>
  <si>
    <t>fact_position[market_value]; fact_position[position_date]; dim_account[advisor_id]; dim_account[account_status]; dim_account[is_current]</t>
  </si>
  <si>
    <t>SELECT SUM(p.market_value) / NULLIF(COUNT(DISTINCT a.advisor_id), 0) AS aum_per_advisor
FROM fact_position p
JOIN dim_account a ON p.canonical_account_id = a.canonical_account_id
WHERE p.position_date = CURRENT_DATE
  AND a.account_status = 'ACTIVE'
  AND a.is_current = TRUE</t>
  </si>
  <si>
    <t>KPI-055</t>
  </si>
  <si>
    <t>Households per Advisor</t>
  </si>
  <si>
    <t>dim_account[household_id]; dim_account[advisor_id]; dim_account[account_status]; dim_account[is_current]</t>
  </si>
  <si>
    <t>SELECT COUNT(DISTINCT a.household_id) / NULLIF(COUNT(DISTINCT a.advisor_id), 0) AS hh_per_advisor
FROM dim_account a
WHERE a.account_status = 'ACTIVE'
  AND a.is_current = TRUE
  AND a.household_id IS NOT NULL</t>
  </si>
  <si>
    <t>SELECT COUNT(DISTINCT h.house_hold_name) / NULLIF(COUNT(DISTINCT a.investment_professional_number), 0) AS hh_per_advisor
FROM financial_account a
JOIN household_details h ON h.financial_account_id = a.financial_account_id
WHERE a.account_status_indicator = 'O'
  AND a.is_active = 1
  AND h.house_hold_name IS NOT NULL</t>
  </si>
  <si>
    <t>KPI-056</t>
  </si>
  <si>
    <t>NNA per Advisor</t>
  </si>
  <si>
    <t>fact_transaction; dim_account; dim_advisor</t>
  </si>
  <si>
    <t>fact_transaction[net_amount]; fact_transaction[txn_type]; fact_transaction[trade_date]; fact_transaction[is_cancelled]; dim_account[advisor_id]; dim_account[account_status]</t>
  </si>
  <si>
    <t>WITH nna AS (
  SELECT
    SUM(CASE WHEN txn_type IN ('CONTRIBUTION','TRANSFER_IN') THEN net_amount ELSE 0 END)
    - SUM(CASE WHEN txn_type IN ('DISTRIBUTION','TRANSFER_OUT') THEN ABS(net_amount) ELSE 0 END) AS total_nna
  FROM fact_transaction
  WHERE trade_date BETWEEN @start_date AND @end_date
    AND is_cancelled = FALSE
)
SELECT nna.total_nna / NULLIF(
  (SELECT COUNT(DISTINCT advisor_id)
   FROM dim_account
   WHERE account_status = 'ACTIVE' AND is_current = TRUE),
  0
) AS nna_per_advisor
FROM nna</t>
  </si>
  <si>
    <t>WITH nna AS (
  SELECT
    SUM(CASE WHEN transaction_code IN ('CONTRIBUTION','TRANSFER_IN', 'RFF', 'CSR') THEN ABS(amount) ELSE 0 END)
    - SUM(CASE WHEN transaction_code IN ('DISTRIBUTION','TRANSFER_OUT', 'SFF','PCC') THEN (amount) ELSE 0 END) AS total_nna
  FROM transactions
  WHERE CAST(transaction_date AS DATE) BETWEEN '2026-01-01' AND '2026-01-31'
    AND cancel_code = 0
)
SELECT nna.total_nna / NULLIF(
  (SELECT COUNT(DISTINCT investment_professional_number)
   FROM financial_account
   WHERE is_active = 1),
  0
) AS nna_per_advisor
FROM nna</t>
  </si>
  <si>
    <t>Asset Allocation Donut (Household Overview Tab)</t>
  </si>
  <si>
    <t>SELECT
  equity_pct,
  fi_pct,
  alt_pct,
  cash_pct,
  (1 - equity_pct - fi_pct - alt_pct - cash_pct) AS other_pct
FROM gold.fact_client_360
WHERE household_id = :household_id
  AND snapshot_date = (SELECT MAX(snapshot_date) FROM gold.fact_client_360 WHERE household_id = :household_id);</t>
  </si>
  <si>
    <t>Advisor Growth Rate</t>
  </si>
  <si>
    <t>WITH current_aum AS (
  SELECT a.advisor_id, SUM(p.market_value) AS aum
  FROM fact_position p
  JOIN dim_account a ON p.canonical_account_id = a.canonical_account_id
  WHERE p.position_date = CURRENT_DATE
    AND a.account_status = 'ACTIVE'
    AND a.is_current = TRUE
  GROUP BY a.advisor_id
),
prior_aum AS (
  SELECT a.advisor_id, SUM(p.market_value) AS aum
  FROM fact_position p
  JOIN dim_account a ON p.canonical_account_id = a.canonical_account_id
  WHERE p.position_date = CURRENT_DATE - INTERVAL '1 year'
    AND a.account_status = 'ACTIVE'
    AND a.is_current = TRUE
  GROUP BY a.advisor_id
)
SELECT c.advisor_id,
  (c.aum - COALESCE(pr.aum, 0)) / NULLIF(pr.aum, 0) * 100 AS growth_rate
FROM current_aum c
LEFT JOIN prior_aum pr ON c.advisor_id = pr.advisor_id</t>
  </si>
  <si>
    <t>fact_pipeline_run (missing)</t>
  </si>
  <si>
    <t>N/A â€” fact_pipeline_run table does not exist in current Gold Layer schema</t>
  </si>
  <si>
    <t>fact_position[position_date]</t>
  </si>
  <si>
    <t>SELECT COUNT(*) AS position_count
FROM fact_position
WHERE position_date = CURRENT_DATE</t>
  </si>
  <si>
    <t>SELECT COUNT(*) AS position_count
FROM positions
WHERE CAST(snapshot_date AS DATE) BETWEEN DATEADD(DAY, 1 - DATEPART(WEEKDAY, '2026-01-01'), '2026-01-01')
          AND DATEADD(DAY, 7 - DATEPART(WEEKDAY, '2026-01-01'), '2026-01-01');</t>
  </si>
  <si>
    <t>fact_transaction (needs fact_pipeline_run)</t>
  </si>
  <si>
    <t>N/A â€” pipeline_run_id FK not on fact_transaction in current Gold Layer</t>
  </si>
  <si>
    <t>SELECT
  source_custodian                AS custodian,
  SUM(market_value)               AS aum,
  ROUND(SUM(market_value) / SUM(SUM(market_value)) OVER () * 100, 1) AS pct
FROM gold.fact_position
WHERE advisor_id = :advisor_id
  AND position_date = (SELECT MAX(position_date) FROM gold.fact_position WHERE advisor_id = :advisor_id)
GROUP BY source_custodian
ORDER BY aum DESC;</t>
  </si>
  <si>
    <t>KPI-063</t>
  </si>
  <si>
    <t>Market Appreciation QTD</t>
  </si>
  <si>
    <t>fact_position; fact_transaction; dim_account</t>
  </si>
  <si>
    <t>WITH qtd_end AS (
  SELECT SUM(p.market_value) AS end_aum
  FROM fact_position p
  JOIN dim_account a ON p.canonical_account_id = a.canonical_account_id
  WHERE p.position_date = @qtd_end
    AND a.account_status = 'ACTIVE' AND a.is_current = TRUE
),
qtd_start AS (
  SELECT SUM(p.market_value) AS start_aum
  FROM fact_position p
  JOIN dim_account a ON p.canonical_account_id = a.canonical_account_id
  WHERE p.position_date = @qtd_start
    AND a.account_status = 'ACTIVE' AND a.is_current = TRUE
),
nna AS (
  SELECT SUM(CASE WHEN txn_type IN ('CONTRIBUTION','TRANSFER_IN') THEN net_amount ELSE 0 END)
       - SUM(CASE WHEN txn_type IN ('DISTRIBUTION','TRANSFER_OUT') THEN ABS(net_amount) ELSE 0 END)
       AS nna_qtd
  FROM fact_transaction
  WHERE trade_date BETWEEN @qtd_start AND @qtd_end AND is_cancelled = FALSE
)
SELECT (e.end_aum - s.start_aum) - n.nna_qtd AS market_appreciation_qtd
FROM qtd_end e, qtd_start s, nna n</t>
  </si>
  <si>
    <t>"WITH snapshot_refs AS (
    SELECT
        /* Beginning AUM = last snapshot of previous quarter */
        (
            SELECT MAX(snapshot_date)
            FROM positions
            WHERE snapshot_date &lt; CAST('2026-04-01' AS DATE)
        ) AS start_snapshot_date,
        /* Ending AUM = max weekly snapshot up to selected end date */
        (
            SELECT MAX(snapshot_date)
            FROM positions
            WHERE snapshot_date &lt;= CAST('2026-06-24' AS DATE)
        ) AS end_snapshot_date
),
qtd_start AS (
    SELECT SUM(p.amount) AS start_aum
    FROM positions p
    INNER JOIN financial_account a
        ON p.financial_account_id = a.financial_account_id
    CROSS JOIN snapshot_refs r
    WHERE p.snapshot_date = r.start_snapshot_date
      AND a.account_status_indicator = 'O'
      AND a.is_active = 1
),
qtd_end AS (
    SELECT SUM(p.amount) AS end_aum
    FROM positions p
    INNER JOIN financial_account a
        ON p.financial_account_id = a.financial_account_id
    CROSS JOIN snapshot_refs r
    WHERE p.snapshot_date = r.end_snapshot_date
      AND a.account_status_indicator = 'O'
      AND a.is_active = 1
),
nna AS (
    SELECT
          SUM(CASE
                WHEN transaction_code IN ('CONTRIBUTION','TRANSFER_IN','RFF','CSR')
                THEN ABS(amount)
                ELSE 0
              END)
        -
          SUM(CASE
                WHEN transaction_code IN ('DISTRIBUTION','TRANSFER_OUT','SFF','PCC')
                THEN ABS(amount)
                ELSE 0
              END) AS nna_qtd
    FROM transactions
    WHERE CAST(transaction_date AS DATE) BETWEEN '2026-04-01' AND '2026-06-24'
)
SELECT
    (e.end_aum - s.start_aum - n.nna_qtd) AS market_appreciation_qtd
CROSS JOIN qtd_start s
CROSS JOIN qtd_end e
CROSS JOIN nna n;"</t>
  </si>
  <si>
    <t>KPI-064</t>
  </si>
  <si>
    <t>Households Departed Count</t>
  </si>
  <si>
    <t>dim_household; fact_transaction; dim_account</t>
  </si>
  <si>
    <t>fact_transaction[net_amount]; fact_transaction[txn_type]; fact_transaction[trade_date]; fact_transaction[is_cancelled]; fact_transaction[household_id]; dim_household[household_id]; dim_account[account_status]</t>
  </si>
  <si>
    <t>WITH closed_hh AS (
  SELECT a.household_id
  FROM dim_account a
  WHERE a.household_id IS NOT NULL AND a.is_current = TRUE
  GROUP BY a.household_id
  HAVING COUNT(CASE WHEN a.account_status != 'CLOSED' THEN 1 END) = 0
    AND MAX(a.close_date) BETWEEN @start_date AND @end_date
),
confirmed_departures AS (
  SELECT DISTINCT t.household_id
  FROM fact_transaction t
  WHERE t.txn_type IN ('TRANSFER_OUT','DISTRIBUTION')
    AND t.trade_date BETWEEN @start_date AND @end_date
    AND t.is_cancelled = FALSE
    AND t.household_id IN (SELECT household_id FROM closed_hh)
)
SELECT COUNT(*) AS households_departed
FROM confirmed_departures</t>
  </si>
  <si>
    <t>WITH closed_hh AS (
  SELECT hd.id
  FROM financial_account f
  JOIN household_details hd ON hd.financial_account_id = f.financial_account_id
  WHERE hd.id IS NOT NULL AND f.is_active = 1
  GROUP BY hd.id
  HAVING COUNT(CASE WHEN f.account_status_indicator != 'C' THEN 1 END) = 0
    AND MAX(f.date_account_closed) BETWEEN '2026-01-01' AND '2026-06-01'
),
confirmed_departures AS (
  SELECT DISTINCT h.id
  FROM transactions t
  JOIN household_details h ON h.financial_account_id = t.financial_account_id
  WHERE t.transaction_code IN ('DISTRIBUTION', 'TRANSFER_OUT', 'SFF','PCC')
    AND CAST(t.transaction_date AS DATE) BETWEEN '2026-01-01' AND '2026-06-01'
    AND t.cancel_code &lt;&gt; 1
    AND h.id IN (SELECT id FROM closed_hh)
)
SELECT COUNT(*) AS households_departed
FROM confirmed_departures</t>
  </si>
  <si>
    <t>Assets Departed ($)</t>
  </si>
  <si>
    <t>fact_position; fact_transaction; dim_account; dim_household</t>
  </si>
  <si>
    <t>fact_position[market_value]; fact_position[position_date]; fact_transaction[net_amount]; fact_transaction[txn_type]; fact_transaction[household_id]; dim_household[household_id]; dim_account[account_status]</t>
  </si>
  <si>
    <t>WITH departed_hh AS (
  SELECT a.household_id, MAX(a.close_date) AS close_date
  FROM dim_account a
  WHERE a.is_current = TRUE
  GROUP BY a.household_id
  HAVING COUNT(CASE WHEN a.account_status != 'CLOSED' THEN 1 END) = 0
    AND MAX(a.close_date) BETWEEN @start_date AND @end_date
),
last_active AS (
  SELECT p.household_id, MAX(p.position_date) AS last_position_date
  FROM fact_position p
  JOIN departed_hh d ON p.household_id = d.household_id
  WHERE p.position_date &lt; d.close_date
  GROUP BY p.household_id
)
SELECT SUM(p.market_value) AS assets_departed
FROM fact_position p
JOIN last_active l
  ON p.household_id = l.household_id
 AND p.position_date = l.last_position_date</t>
  </si>
  <si>
    <t>WITH departed_hh AS (
  SELECT h.id, MAX(a.date_account_closed) AS close_date
  FROM financial_account a
  JOIN household_details h ON h.financial_account_id = a.financial_account_id
  WHERE a.is_active = 1
  GROUP BY h.id
  HAVING COUNT(CASE WHEN a.account_status_indicator != 'C' THEN 1 END) = 0
    AND MAX(a.date_account_closed) BETWEEN @start_date AND @end_date
),
last_active AS (
  SELECT h.id, MAX(p.snapshot_date) AS last_position_date
  FROM positions p
  JOIN household_details h ON h.financial_account_id = p.financial_account_id
  JOIN departed_hh d ON h.id = d.id
  WHERE CAST(p.snapshot_date AS DATE) &lt; CAST(d.close_date AS DATE)
  GROUP BY h.id
)
SELECT SUM(p.amount) AS assets_departed
FROM positions p
JOIN household_details h ON h.financial_account_id = p.financial_account_id
JOIN last_active l
  ON h.id = l.id
 AND p.snapshot_date = l.last_position_date</t>
  </si>
  <si>
    <t>KPI-066</t>
  </si>
  <si>
    <t>Revenue Lost from Attrition</t>
  </si>
  <si>
    <t>fact_billing_event; dim_account; dim_household</t>
  </si>
  <si>
    <t>fact_billing_event[net_fee]; fact_billing_event[billing_period_start]; fact_billing_event[billing_period_end]; fact_billing_event[household_id]; dim_household[household_id]; dim_account[account_status]</t>
  </si>
  <si>
    <t>WITH departed_hh AS (
  SELECT a.household_id
  FROM dim_account a
  WHERE a.is_current = TRUE
  GROUP BY a.household_id
  HAVING COUNT(CASE WHEN a.account_status != 'CLOSED' THEN 1 END) = 0
    AND MAX(a.close_date) BETWEEN @start_date AND @end_date
),
last_fee AS (
  SELECT b.household_id,
    FIRST_VALUE(b.net_fee) OVER (
      PARTITION BY b.household_id ORDER BY b.billing_period_end DESC
    ) AS last_net_fee
  FROM fact_billing_event b
  WHERE b.household_id IN (SELECT household_id FROM departed_hh)
)
SELECT SUM(DISTINCT last_net_fee * 4) AS annual_revenue_lost
FROM last_fee</t>
  </si>
  <si>
    <t>WITH departed_hh AS (
    SELECT
        h.id
    FROM financial_account f
    JOIN household_details h
        ON h.financial_account_id = f.financial_account_id
    WHERE f.is_active = 1
    GROUP BY h.id
    HAVING
        COUNT(CASE WHEN f.account_status_indicator != 'C' THEN 1 END) = 0
        AND MAX(f.date_account_closed)
            BETWEEN '2026-01-01' AND '2026-06-01'
),
ranked_fees AS (
    SELECT
        h.id,
        b.gross_fees,
        ROW_NUMBER() OVER (
            PARTITION BY h.id
            ORDER BY b.broker_month DESC
        ) AS rn
    FROM fa_commission b
    JOIN household_details h
        ON h.financial_account_id = b.financial_account_id
    WHERE h.id IN (SELECT id FROM departed_hh)
),
last_fee AS (
    SELECT
        id,
        gross_fees
    FROM ranked_fees
    WHERE rn = 1
)
SELECT
    SUM(gross_fees * 4) AS annual_revenue_lost
FROM last_fee;</t>
  </si>
  <si>
    <t>KPI-036</t>
  </si>
  <si>
    <t>Sector Diversification (HHI)</t>
  </si>
  <si>
    <t>fact_position[market_value]; fact_position[cusip]; fact_position[position_date]; dim_security[sector]</t>
  </si>
  <si>
    <t>Due to 1 column 'dim_security[sector]'</t>
  </si>
  <si>
    <t>KPI-068</t>
  </si>
  <si>
    <t>Advisor Performance Score %</t>
  </si>
  <si>
    <t>fact_position; fact_transaction; dim_account; dim_advisor</t>
  </si>
  <si>
    <t>fact_position[market_value]; fact_position[position_date]; fact_transaction[net_amount]; fact_transaction[txn_type]; dim_account[advisor_id]; dim_advisor[advisor_id]</t>
  </si>
  <si>
    <t>WITH advisor_nna AS (
  SELECT a.advisor_id,
    SUM(CASE WHEN t.txn_type IN ('CONTRIBUTION','TRANSFER_IN')
             THEN t.net_amount ELSE 0 END)
    - SUM(CASE WHEN t.txn_type IN ('DISTRIBUTION','TRANSFER_OUT')
               THEN ABS(t.net_amount) ELSE 0 END) AS nna_ytd
  FROM fact_transaction t
  JOIN dim_account a ON t.canonical_account_id = a.canonical_account_id
  WHERE t.trade_date BETWEEN DATE_TRUNC('year', CURRENT_DATE) AND CURRENT_DATE
    AND t.is_cancelled = FALSE
    AND a.account_status = 'ACTIVE' AND a.is_current = TRUE
  GROUP BY a.advisor_id
)
SELECT
  COUNT(CASE WHEN nna_ytd &gt; 0 THEN 1 END)                              AS growing_advisors,
  COUNT(*)                                                              AS total_active_advisors,
  COUNT(CASE WHEN nna_ytd &gt; 0 THEN 1 END)::FLOAT / NULLIF(COUNT(*), 0)
    * 100                                                               AS performance_score_pct
FROM advisor_nna</t>
  </si>
  <si>
    <t>WITH advisor_nna AS (
    SELECT
        a.investment_professional_number,
        SUM(CASE
                WHEN t.transaction_code IN ('CONTRIBUTION','TRANSFER_IN','RFF','CSR')
                THEN ABS(t.amount) ELSE 0
            END)
        -
        SUM(CASE
                WHEN t.transaction_code IN ('DISTRIBUTION','TRANSFER_OUT','SFF','PCC')
                THEN ABS(t.amount) ELSE 0
            END) AS nna_ytd,
        MIN(t.transaction_date) as mini,
        MAX(t.transaction_date) as maxi
    FROM transactions t
    JOIN financial_account a
        ON a.financial_account_id = t.financial_account_id
    JOIN household_details h
        ON h.financial_account_id = t.financial_account_id
    WHERE t.transaction_date &gt;= DATEFROMPARTS(YEAR(GETDATE()), 1, 1)
      AND t.transaction_date &lt;= CAST(GETDATE() AS DATE)
      AND a.account_status_indicator = 'O'
      AND a.is_active = 1
    GROUP BY a.investment_professional_number
)
SELECT
    COUNT(CASE WHEN nna_ytd &gt; 0 THEN 1 END) AS growing_advisors,
    COUNT(*) AS total_active_advisors,
    100.0 * COUNT(CASE WHEN nna_ytd &gt; 0 THEN 1 END)
        / NULLIF(COUNT(*), 0) AS performance_score_pct
FROM advisor_nna;</t>
  </si>
  <si>
    <t>fact_position[unrealized_gain_loss]; fact_position[cost_basis]; fact_position[position_date]; dim_account[account_status]</t>
  </si>
  <si>
    <t>Due to 2 columns 'fact_position[unrealized_gain_loss]', 'fact_position[cost_basis]'</t>
  </si>
  <si>
    <t>KPI-042</t>
  </si>
  <si>
    <t>Short-Term Gain Exposure</t>
  </si>
  <si>
    <t>fact_position[unrealized_gain_loss]; fact_position[holding_period]; fact_position[position_date]</t>
  </si>
  <si>
    <t>fact_position[market_value]; fact_position[position_date]; dim_account[fee_schedule_id]; dim_account[account_status]; dim_account[is_current]</t>
  </si>
  <si>
    <t>Due to 1 column 'dim_account[fee_schedule_id]'</t>
  </si>
  <si>
    <t>KPI-045</t>
  </si>
  <si>
    <t>Est. Advisory Fee Revenue</t>
  </si>
  <si>
    <t>fact_position; dim_account; dim_fee_schedule</t>
  </si>
  <si>
    <t>fact_position[market_value]; fact_position[position_date]; dim_account[fee_schedule_id]; dim_account[account_status]; dim_account[is_current]; dim_fee_schedule[tier_1_rate_bps]</t>
  </si>
  <si>
    <t>Due to 2 columns 'dim_account[fee_schedule_id]', 'dim_fee_schedule[tier_1_rate_bps]'</t>
  </si>
  <si>
    <t>Firm AUM Growth Trend (24-Month Area Chart)</t>
  </si>
  <si>
    <t>SELECT
  DATE_TRUNC('month', fp.position_date)           AS month,
  SUM(fp.market_value)                            AS total_aum
FROM gold.fact_position fp
WHERE fp.position_date = LAST_DAY(DATE_TRUNC('month', fp.position_date))
  AND fp.position_date &gt;= DATE_TRUNC('month', CURRENT_DATE) - INTERVAL '23 months'
GROUP BY 1
ORDER BY 1;</t>
  </si>
  <si>
    <t>Leadership / Executive Portal</t>
  </si>
  <si>
    <t>Quarterly Revenue &amp; Fee Rate (Composed Bar + Line)</t>
  </si>
  <si>
    <t>SELECT
  DATE_TRUNC('quarter', fbe.billing_period_end)  AS quarter,
  SUM(fbe.net_fee)                               AS total_revenue,
  SUM(fbe.net_fee) / NULLIF(SUM(fbe.billing_aum), 0) * 10000 AS fee_rate_bps
FROM gold.fact_billing_event fbe
WHERE fbe.payment_status IN ('PAID', 'PENDING')
  AND fbe.billing_period_end &gt;= CURRENT_DATE - INTERVAL '2 years'
GROUP BY 1
ORDER BY 1;</t>
  </si>
  <si>
    <t>fact_position[cost_basis]; fact_position[position_date]</t>
  </si>
  <si>
    <t>Due to 1 column 'fact_position[cost_basis]'</t>
  </si>
  <si>
    <t>AUM by Client Segment</t>
  </si>
  <si>
    <t>fact_position; dim_account; dim_household</t>
  </si>
  <si>
    <t>fact_position[market_value]; fact_position[position_date]; fact_position[is_current_snapshot]; dim_account[household_id]; dim_account[advisor_id]; dim_account[account_status]; dim_household[segment]</t>
  </si>
  <si>
    <t>Due to 2 columns 'fact_position[is_current_snapshot]', 'dim_household[segment]'</t>
  </si>
  <si>
    <t>Advisor AUM Trend (6-Month Area Chart)</t>
  </si>
  <si>
    <t>SELECT
  DATE_TRUNC('month', fp.position_date)   AS month,
  SUM(fp.market_value)                    AS aum
FROM gold.fact_position fp
WHERE fp.advisor_id = :advisor_id
  AND fp.position_date = LAST_DAY(DATE_TRUNC('month', fp.position_date))
  AND fp.position_date &gt;= DATE_TRUNC('month', CURRENT_DATE) - INTERVAL '5 months'
GROUP BY 1
ORDER BY 1;</t>
  </si>
  <si>
    <t>Advisor Dashboard Home</t>
  </si>
  <si>
    <t>Leadership Firm Dashboard</t>
  </si>
  <si>
    <t>Household needing attention</t>
  </si>
  <si>
    <t>Portfolio Health % (HH on Model)</t>
  </si>
  <si>
    <t>dim_account; dim_model_portfolio; fact_position</t>
  </si>
  <si>
    <t>dim_account[household_id]; dim_account[model_portfolio_id]; dim_account[advisor_id]; dim_account[account_status]; fact_position[drift_from_model_pct]; fact_position[position_date]; dim_model_portfolio[drift_threshold_pct]</t>
  </si>
  <si>
    <t>Due to 3 columns 'dim_account[model_portfolio_id]', 'fact_position[drift_from_model_pct]', 'dim_model_portfolio[drift_threshold_pct]'</t>
  </si>
  <si>
    <t>Client Engagement Rate %</t>
  </si>
  <si>
    <t>fact_client_360; dim_household; dim_account</t>
  </si>
  <si>
    <t>fact_client_360[days_since_last_meeting]; fact_client_360[household_id]; fact_client_360[last_meeting_date]; dim_account[advisor_id]; dim_household[household_id]</t>
  </si>
  <si>
    <t>Due to 2 columns 'fact_client_360[days_since_last_meeting]', 'fact_client_360[last_meeting_date]'</t>
  </si>
  <si>
    <t>Asset Allocation Current vs Target (Full Grouped Bar Chart)</t>
  </si>
  <si>
    <t>Yes. Doubt. Sub_Asset_Class classification available</t>
  </si>
  <si>
    <t>SELECT
  CASE asset_class
    WHEN 'US_EQUITY'          THEN 'US Equity'
    WHEN 'INTL_EQUITY_DM'     THEN 'International Equity'
    WHEN 'INTL_EQUITY_EM'     THEN 'International Equity'
    WHEN 'FIXED_INCOME_GOVT'  THEN 'Fixed Income'
    WHEN 'FIXED_INCOME_CORP'  THEN 'Fixed Income'
    WHEN 'ALTERNATIVES'       THEN 'Alternatives'
    WHEN 'CASH_EQUIV'         THEN 'Cash &amp; Equivalents'
    ELSE                           'Other'
  END                          AS category,
  ROUND(SUM(market_value) / SUM(SUM(market_value)) OVER () * 100, 1) AS current_pct
FROM gold.fact_position
WHERE advisor_id = :advisor_id
  -- optionally: AND household_id = :household_id
  AND position_date = (SELECT MAX(position_date) FROM gold.fact_position WHERE advisor_id = :advisor_id)
GROUP BY 1;</t>
  </si>
  <si>
    <t>SELECT
    s.asset_class AS category,
    ROUND(SUM(ABS(p.amount)) * 100.0 / SUM(SUM(ABS(p.amount))) OVER (), 1) AS current_pct
FROM positions p
JOIN securities s ON s.cusip = p.cusip
WHERE p.investment_professional_number = @investment_professional_number
  AND p.snapshot_date = (SELECT MAX(snapshot_date) FROM positions WHERE investment_professional_number = @investment_professional_number)
GROUP BY s.asset_class;</t>
  </si>
  <si>
    <t>Risk Alert Count by Severity</t>
  </si>
  <si>
    <t>fact_position; fact_cash_balance; dim_account; fact_client_360; dim_model_portfolio</t>
  </si>
  <si>
    <t>fact_position[market_value]; fact_position[drift_from_model_pct]; fact_position[cost_basis]; fact_position[unrealized_gain_loss]; fact_cash_balance[total_cash_equivalent]; fact_cash_balance[balance_date]; dim_account[model_portfolio_id]; dim_account[advisor_id]; dim_model_portfolio[drift_threshold_pct]; fact_client_360[days_since_last_meeting]</t>
  </si>
  <si>
    <t>Due to 6 columns 'fact_position[drift_from_model_pct]', 'fact_position[cost_basis]', 'fact_position[unrealized_gain_loss]', 'dim_account[model_portfolio_id]', 'dim_model_portfolio[drift_threshold_pct]', 'fact_client_360[days_since_last_meeting]'</t>
  </si>
  <si>
    <t>Firm Health Scorecard (SVG Ring Gauges × 4)</t>
  </si>
  <si>
    <t>Advisor Performance Leaderboard (Sortable Table)</t>
  </si>
  <si>
    <t>Allocation vs Target (Grouped Bar Chart — Advisor Home)</t>
  </si>
  <si>
    <t>WITH hh_total AS (
  SELECT SUM(market_value) AS total_mv
  FROM gold.fact_position
  WHERE household_id = :household_id
    AND position_date = (SELECT MAX(position_date) FROM gold.fact_position WHERE household_id = :household_id)
),
rolled AS (
  SELECT cusip, ticker, SUM(market_value) AS mv
  FROM gold.fact_position
  WHERE household_id = :household_id
    AND position_date = (SELECT MAX(position_date) FROM gold.fact_position WHERE household_id = :household_id)
  GROUP BY cusip, ticker
)
SELECT
  r.ticker,
  r.mv,
  ROUND(r.mv / ht.total_mv * 100, 1) AS pct
FROM rolled r, hh_total ht
ORDER BY r.mv DESC
LIMIT 10;</t>
  </si>
  <si>
    <t>WITH hh_total AS (
  SELECT SUM(p.amount) AS total_mv
  FROM positions p
  JOIN household_details h ON h.financial_account_id = p.financial_account_id
  WHERE h.house_hold_name = :house_hold_name
    AND snapshot_date = (SELECT MAX(sp.snapshot_date) FROM positions sp JOIN household_details sh ON sh.financial_account_id = sp.financial_account_id WHERE sh.house_hold_name = :house_hold_name)
),
rolled AS (
  SELECT p.cusip, s.ticker, SUM(p.amount) AS mv
  FROM positions p
  JOIN securities s ON s.cusip = p.cusip
  JOIN household_details h ON h.financial_account_id = p.financial_account_id
  WHERE h.house_hold_name = :household_id
    AND snapshot_date = (SELECT MAX(sp.snapshot_date) FROM positions sp JOIN household_details sh ON sh.financial_account_id = sp.financial_account_id WHERE sh.house_hold_name = :house_hold_name)
)
  GROUP BY p.cusip, s.ticker
)
SELECT
  r.ticker,
  r.mv,
  ROUND(r.mv / ht.total_mv * 100, 1) AS pct
FROM rolled r, hh_total ht
ORDER BY r.mv DESC
LIMIT 10;</t>
  </si>
  <si>
    <t>CHART-007</t>
  </si>
  <si>
    <t>Book Health Panel (SVG Rings + Alert Lists)</t>
  </si>
  <si>
    <t>Sector Exposure — Equity Only (Horizontal Bar Chart)</t>
  </si>
  <si>
    <t>Custodian Distribution (Household Donut Chart)</t>
  </si>
  <si>
    <t>SELECT
  source_custodian                    AS custodian,
  SUM(market_value)                   AS aum
FROM gold.fact_position
WHERE household_id = :household_id
  AND position_date = (SELECT MAX(position_date) FROM gold.fact_position WHERE household_id = :household_id)
GROUP BY source_custodian
ORDER BY aum DESC;</t>
  </si>
  <si>
    <t>SELECT
  DATE_TRUNC('month', position_date)    AS month,
  SUM(market_value)                     AS aum
FROM gold.fact_position
WHERE household_id = :household_id
  AND position_date = LAST_DAY(DATE_TRUNC('month', position_date))
  AND position_date &gt;= DATE_TRUNC('month', CURRENT_DATE) - INTERVAL '11 months'
GROUP BY 1
ORDER BY 1;</t>
  </si>
  <si>
    <t>SELECT
  DATEFROMPARTS(YEAR(fp.snapshot_date), MONTH(fp.snapshot_date), 1) AS [month],
  SUM(ABS(fp.amount)) AS aum
FROM positions fp
JOIN household_details h ON h.financial_account_id = fp.financial_account_id
WHERE fp.house_hold_name = :house_hold_name 
  --AND fp.snapshot_date = LAST_DAY(DATE_TRUNC('month', fp.snapshot_date))
  AND CAST(fp.snapshot_date AS DATE) &gt;= DATEADD(
        MONTH,
        -11,
        DATEFROMPARTS(YEAR(GETDATE()), MONTH(GETDATE()), 1)
    )
GROUP BY DATEFROMPARTS(YEAR(fp.snapshot_date), MONTH(fp.snapshot_date), 1)
ORDER BY aum;</t>
  </si>
  <si>
    <t>Top 20 Holdings Concentration Map (Table with Bar Indicators)</t>
  </si>
  <si>
    <t>No. On query logic</t>
  </si>
  <si>
    <t>WITH book_total AS (
  SELECT SUM(market_value) AS total_mv
  FROM gold.fact_position
  WHERE advisor_id = :advisor_id
    AND position_date = (SELECT MAX(position_date) FROM gold.fact_position WHERE advisor_id = :advisor_id)
),
rolled AS (
  SELECT
    fp.cusip,
    fp.ticker,
    ds.security_name,
    SUM(fp.market_value)         AS market_value,
    SUM(fp.unrealized_gain_loss) AS unrealized_gl
  FROM gold.fact_position fp
  LEFT JOIN gold.dim_security ds ON fp.cusip = ds.cusip
  WHERE fp.advisor_id = :advisor_id
    AND fp.position_date = (SELECT MAX(position_date) FROM gold.fact_position WHERE advisor_id = :advisor_id)
  GROUP BY fp.cusip, fp.ticker, ds.security_name
)
SELECT
  ROW_NUMBER() OVER (ORDER BY r.market_value DESC) AS rank,
  r.cusip,
  r.ticker,
  r.security_name,
  r.market_value,
  ROUND(r.market_value / bt.total_mv * 100, 1)    AS pct_of_book,
  ROUND(r.unrealized_gl / NULLIF(r.market_value - r.unrealized_gl, 0) * 100, 1) AS unrealized_gl_pct
FROM rolled r, book_total bt
ORDER BY r.market_value DESC
LIMIT 20;</t>
  </si>
  <si>
    <t>WITH book_total AS (
  SELECT SUM(amount) AS total_mv
  FROM positions
  WHERE investment_professional_number = 'N04'
    AND snapshot_date = (SELECT MAX(snapshot_date) FROM positions WHERE investment_professional_number = 'N04')
),
rolled AS (
SELECT
    -- fp.cusip,
    -- ds.ticker,
    -- ds.asset_name,
    SUM(fp.amount)         AS market_value
    -- SUM(fp.unrealized_gain_loss) AS unrealized_gl
  FROM positions fp
  LEFT JOIN securities ds ON fp.cusip = ds.cusip
  WHERE fp.investment_professional_number = 'N04'
    AND fp.snapshot_date = (SELECT MAX(snapshot_date) FROM positions WHERE investment_professional_number = 'N04')
  GROUP BY fp.cusip, ds.ticker, ds.asset_name
)
SELECT
  ROW_NUMBER() OVER (ORDER BY r.market_value DESC) AS rank,
  r.cusip,
  r.ticker,
  r.asset_name,
  r.market_value,
  ROUND(r.market_value / bt.total_mv * 100, 1)    AS pct_of_book
  -- ROUND(r.unrealized_gl / NULLIF(r.market_value - r.unrealized_gl, 0) * 100, 1) AS unrealized_gl_pct
FROM rolled r, book_total bt
ORDER BY r.market_value DESC
LIMIT 20;</t>
  </si>
  <si>
    <t>Tax Lot Summary (Long / Short Unrealized Panel)</t>
  </si>
  <si>
    <t>SELECT
  holding_period,
  SUM(CASE WHEN unrealized_gain_loss &gt; 0 THEN unrealized_gain_loss ELSE 0 END) AS unrealized_gains,
  SUM(CASE WHEN unrealized_gain_loss &lt; 0 THEN unrealized_gain_loss ELSE 0 END) AS unrealized_losses,
  SUM(unrealized_gain_loss)                                                      AS net_unrealized
FROM gold.fact_position
WHERE household_id = :household_id
  AND position_date = (SELECT MAX(position_date) FROM gold.fact_position WHERE household_id = :household_id)
  AND unrealized_gain_loss IS NOT NULL
GROUP BY holding_period;</t>
  </si>
  <si>
    <t>CHART-020</t>
  </si>
  <si>
    <t>Best Performer Stat Cards × 4</t>
  </si>
  <si>
    <t>Advisor Intelligence</t>
  </si>
  <si>
    <t>AUM Trend by Advisor (Multi-Line Line Chart, 12 Months)</t>
  </si>
  <si>
    <t>SELECT
  DATE_TRUNC('month', fp.position_date)   AS month,
  fp.advisor_id,
  adv.full_name,
  SUM(fp.market_value)                    AS aum
FROM gold.fact_position fp
JOIN gold.dim_advisor adv ON fp.advisor_id = adv.advisor_id
WHERE fp.position_date = LAST_DAY(DATE_TRUNC('month', fp.position_date))
  AND fp.position_date &gt;= DATE_TRUNC('month', CURRENT_DATE) - INTERVAL '11 months'
GROUP BY 1, 2, 3
ORDER BY 1, 4 DESC;</t>
  </si>
  <si>
    <t>SELECT
  DATEFROMPARTS(YEAR(fp.snapshot_date), MONTH(fp.snapshot_date), 1) AS [month],
  fp.investment_professional_number,
  --adv.full_name,
  SUM(ABS(fp.amount))                    AS aum
FROM positions fp
--JOIN gold.dim_advisor adv ON fp.advisor_id = adv.advisor_id
WHERE 
--fp.snapshot_date = LAST_DAY(DATE_TRUNC('month', fp.snapshot_date)) AND CAST(fp.snapshot_date AS DATE) &gt;= DATEADD(
        MONTH,
        -11,
        DATEFROMPARTS(YEAR(GETDATE()), MONTH(GETDATE()), 1)
    )
GROUP BY DATEFROMPARTS(YEAR(fp.snapshot_date), MONTH(fp.snapshot_date), 1), fp.investment_professional_number --, 3
ORDER BY DATEFROMPARTS(YEAR(fp.snapshot_date), MONTH(fp.snapshot_date), 1), SUM(ABS(fp.amount)) DESC;</t>
  </si>
  <si>
    <t>Advisor Detailed Comparison Table (Sortable)</t>
  </si>
  <si>
    <t>Extend CHART-004 CTEs with performance alpha, overdue reviews, and NPS,,performance AS (
  SELECT da.advisor_id,
    AVG(CASE WHEN fp2.period_type = 'YTD' THEN fp2.alpha END) AS alpha_ytd
  FROM gold.fact_performance fp2
  JOIN gold.dim_account da ON fp2.canonical_account_id = da.canonical_account_id
  WHERE fp2.period_end_date = (SELECT MAX(period_end_date) FROM gold.fact_performance)
  GROUP BY da.advisor_id
),
nps_by_advisor AS (
  SELECT primary_advisor_id AS advisor_id,
    ROUND(AVG(nps_score), 1) AS avg_nps
  FROM gold.dim_household
  WHERE nps_score IS NOT NULL
  GROUP BY primary_advisor_id
),
overdue AS (
  SELECT dh.primary_advisor_id AS advisor_id,
    COUNT(CASE WHEN fc.days_since_last_meeting &gt; 90 THEN 1 END) AS overdue_reviews,
    SUM(fc.accounts_with_high_cash)                             AS high_cash_accounts
  FROM gold.fact_client_360 fc
  JOIN gold.dim_household dh ON fc.household_id = dh.household_id
  WHERE fc.snapshot_date = (SELECT MAX(snapshot_date) FROM gold.fact_client_360)
  GROUP BY dh.primary_advisor_id</t>
  </si>
  <si>
    <t>CHART-023</t>
  </si>
  <si>
    <t>Metric Comparison 4× Bar Charts</t>
  </si>
  <si>
    <t>Same CTE structure as CHART-022 returning all advisor rows (no LIMIT)
1. Chart 1: sort by total_aum DESC
2. Chart 2: sort by nna_ytd DESC
3. Chart 3: sort by retention_pct DESC
4. Chart 4: sort by est_revenue DESC
5. Each BarChart renders one bar per advisor from the shared result set</t>
  </si>
  <si>
    <t>Household Insights Table + Slide-Over Panel</t>
  </si>
  <si>
    <t>SELECT
  dh.household_id,
  dh.household_name,
  f.total_aum,
  perf.twr_ytd,
  perf.alpha_ytd,
  f.drift_from_model_max_pct,
  CASE
    WHEN f.attrition_risk_score &gt;= 0.7 THEN 'High'
    WHEN f.attrition_risk_score &gt;= 0.4 THEN 'Medium'
    ELSE 'Low'
  END                                         AS risk_level,
  f.days_since_last_meeting,
  f.accounts_with_high_cash                   AS open_cash_alerts,
  dh.next_review_date
FROM gold.dim_household dh
JOIN gold.fact_client_360 f ON dh.household_id = f.household_id
  AND f.snapshot_date = (SELECT MAX(snapshot_date) FROM gold.fact_client_360)
LEFT JOIN (
  SELECT da.household_id,
    AVG(CASE WHEN fp2.period_type = 'YTD' THEN fp2.twr_return END)  AS twr_ytd,
    AVG(CASE WHEN fp2.period_type = 'YTD' THEN fp2.alpha END)       AS alpha_ytd
  FROM gold.fact_performance fp2
  JOIN gold.dim_account da ON fp2.canonical_account_id = da.canonical_account_id
  WHERE fp2.period_end_date = (SELECT MAX(period_end_date) FROM gold.fact_performance)
  GROUP BY da.household_id
) perf ON dh.household_id = perf.household_id
WHERE dh.primary_advisor_id = :advisor_id
  AND dh.relationship_status = 'ACTIVE'
ORDER BY f.total_aum DESC;
```
*Slide-over additional fields (on row click)*
```sql
SELECT
  f.cash_pct,
  f.unrealized_gains,
  f.unrealized_losses,
  f.has_financial_plan,
  dmp.model_name,
  dh.next_review_date
FROM gold.fact_client_360 f
JOIN gold.dim_household dh ON f.household_id = dh.household_id
LEFT JOIN gold.dim_account da ON da.household_id = f.household_id
  AND da.is_primary_account = TRUE
LEFT JOIN gold.dim_model_portfolio dmp ON da.model_portfolio_id = dmp.model_id
WHERE f.household_id = :household_id
  AND f.snapshot_date = (SELECT MAX(snapshot_date) FROM gold.fact_client_360);</t>
  </si>
  <si>
    <t>Household Insights</t>
  </si>
  <si>
    <t>SELECT
  run_date,
  SUM(CASE WHEN status = 'SUCCESS' THEN 1 ELSE 0 END)  AS success_count,
  SUM(CASE WHEN status = 'WARNING' THEN 1 ELSE 0 END)  AS warning_count,
  SUM(CASE WHEN status = 'FAILURE' THEN 1 ELSE 0 END)  AS failure_count
FROM gold.fact_pipeline_run
WHERE run_date &gt;= CURRENT_DATE - INTERVAL '6 days'
GROUP BY run_date
ORDER BY run_date;</t>
  </si>
  <si>
    <t>Data Operations / Quality Monitor</t>
  </si>
  <si>
    <t>Would require:
SELECT
  source_system,
  EXTRACT(EPOCH FROM (CURRENT_TIMESTAMP - MAX(run_started_at))) / 3600.0 AS hours_since_load
FROM gold.fact_pipeline_run
WHERE status = 'SUCCESS'
GROUP BY source_system
ORDER BY hours_since_load DESC;
Rough proxy only (NOT equivalent to pipeline timing):
SELECT
  source_custodian,
  EXTRACT(EPOCH FROM (CURRENT_TIMESTAMP - MAX(loaded_at))) / 3600.0 AS hours_since_load
FROM gold.fact_position
GROUP BY source_custodian;</t>
  </si>
  <si>
    <t>TABLE-LD-ADV-03</t>
  </si>
  <si>
    <t>vs Benchmark (Alpha) â€” Advisor Intelligence Table</t>
  </si>
  <si>
    <t>Not in logic doc</t>
  </si>
  <si>
    <t>Client Satisfaction Score â€” Advisor Intelligence Table</t>
  </si>
  <si>
    <t>TABLE-LD-ADV-10</t>
  </si>
  <si>
    <t>Overdue Reviews â€” Advisor Intelligence Table</t>
  </si>
  <si>
    <t>YTD Return % â€” Household Insights Table</t>
  </si>
  <si>
    <t>TABLE-LD-HH-03</t>
  </si>
  <si>
    <t>vs Benchmark â€” Household Insights Table</t>
  </si>
  <si>
    <t>TABLE-LD-HH-04</t>
  </si>
  <si>
    <t>Model Drift % â€” Household Insights Table</t>
  </si>
  <si>
    <t>TABLE-LD-HH-05</t>
  </si>
  <si>
    <t>Risk Level â€” Household Insights Table</t>
  </si>
  <si>
    <t>Last Review Days Ago â€” Household Insights Table</t>
  </si>
  <si>
    <t>TABLE-LD-HH-07</t>
  </si>
  <si>
    <t>Open Alerts Count â€” Household Insights Table</t>
  </si>
  <si>
    <t>YTD Return % â€” Advisor Households Table</t>
  </si>
  <si>
    <t>Market Value â€” Top Holdings Table</t>
  </si>
  <si>
    <t>Unrealized G/L $ â€” Top Holdings Table</t>
  </si>
  <si>
    <t>TABLE-ADV-PORT-04</t>
  </si>
  <si>
    <t>Unrealized G/L % â€” Top Holdings Table</t>
  </si>
  <si>
    <t>TABLE-ADV-PERF-01</t>
  </si>
  <si>
    <t>TWR (Time-Weighted Return) â€” Performance Summary Table</t>
  </si>
  <si>
    <t>TABLE-ADV-PERF-02</t>
  </si>
  <si>
    <t>Benchmark Return â€” Performance Summary Table</t>
  </si>
  <si>
    <t>TABLE-ADV-PERF-03</t>
  </si>
  <si>
    <t>Alpha â€” Performance Summary Table</t>
  </si>
  <si>
    <t>TABLE-ADV-PERF-04</t>
  </si>
  <si>
    <t>Sharpe Ratio â€” Performance Summary Table</t>
  </si>
  <si>
    <t>Account AUM â€” Household Account Summary Table</t>
  </si>
  <si>
    <t>TABLE-ADV-ACCT-02</t>
  </si>
  <si>
    <t>Cash Balance â€” Household Account Summary Table</t>
  </si>
  <si>
    <t>TABLE-ADV-ACCT-03</t>
  </si>
  <si>
    <t>Cash % â€” Household Account Summary Table</t>
  </si>
  <si>
    <t>TABLE-ADV-ACCT-04</t>
  </si>
  <si>
    <t>Model Portfolio â€” Household Account Summary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</si>
</sst>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sz val="9"/>
      <color rgb="FF808080"/>
      <name val="Arial"/>
      <charset val="1"/>
    </font>
    <font>
      <b/>
      <sz val="12"/>
      <color rgb="FF2E5496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9"/>
      <name val="Consolas"/>
      <charset val="1"/>
    </font>
    <font>
      <b/>
      <sz val="11"/>
      <color rgb="FF1F3864"/>
      <name val="Arial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Consolas"/>
      <family val="3"/>
    </font>
  </fonts>
  <fills count="21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CE4D6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FFE699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D9D9D9"/>
        <bgColor rgb="FFDDEBF7"/>
      </patternFill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CE4D6"/>
      </patternFill>
    </fill>
    <fill>
      <patternFill patternType="solid">
        <fgColor rgb="FFFFFF00"/>
        <bgColor rgb="FFFCE4D6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9" fontId="5" fillId="5" borderId="1" xfId="0" applyNumberFormat="1" applyFont="1" applyFill="1" applyBorder="1" applyAlignment="1">
      <alignment horizontal="center" vertical="top" wrapText="1"/>
    </xf>
    <xf numFmtId="0" fontId="4" fillId="11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16" fontId="0" fillId="0" borderId="0" xfId="0" applyNumberFormat="1"/>
    <xf numFmtId="0" fontId="6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7" fillId="12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 wrapText="1"/>
    </xf>
    <xf numFmtId="0" fontId="9" fillId="0" borderId="3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4" fillId="10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11" fillId="15" borderId="3" xfId="0" applyFont="1" applyFill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0" fillId="12" borderId="3" xfId="0" applyFill="1" applyBorder="1" applyAlignment="1">
      <alignment horizontal="left"/>
    </xf>
    <xf numFmtId="0" fontId="0" fillId="12" borderId="3" xfId="0" applyFill="1" applyBorder="1"/>
    <xf numFmtId="0" fontId="0" fillId="16" borderId="0" xfId="0" applyFill="1"/>
    <xf numFmtId="16" fontId="0" fillId="16" borderId="0" xfId="0" applyNumberFormat="1" applyFill="1"/>
    <xf numFmtId="0" fontId="10" fillId="0" borderId="0" xfId="0" applyFont="1"/>
    <xf numFmtId="0" fontId="10" fillId="14" borderId="0" xfId="0" applyFont="1" applyFill="1"/>
    <xf numFmtId="0" fontId="0" fillId="14" borderId="0" xfId="0" applyFill="1"/>
    <xf numFmtId="0" fontId="0" fillId="12" borderId="0" xfId="0" applyFill="1"/>
    <xf numFmtId="0" fontId="10" fillId="12" borderId="0" xfId="0" applyFont="1" applyFill="1"/>
    <xf numFmtId="0" fontId="5" fillId="6" borderId="1" xfId="0" applyFont="1" applyFill="1" applyBorder="1" applyAlignment="1">
      <alignment horizontal="left" vertical="top"/>
    </xf>
    <xf numFmtId="0" fontId="6" fillId="17" borderId="1" xfId="0" applyFont="1" applyFill="1" applyBorder="1" applyAlignment="1">
      <alignment horizontal="left" vertical="top"/>
    </xf>
    <xf numFmtId="0" fontId="6" fillId="14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6" fillId="17" borderId="1" xfId="0" applyFont="1" applyFill="1" applyBorder="1" applyAlignment="1">
      <alignment horizontal="left" vertical="top" wrapText="1"/>
    </xf>
    <xf numFmtId="0" fontId="12" fillId="17" borderId="1" xfId="0" applyFont="1" applyFill="1" applyBorder="1" applyAlignment="1">
      <alignment horizontal="left" vertical="top"/>
    </xf>
    <xf numFmtId="0" fontId="7" fillId="17" borderId="1" xfId="0" applyFont="1" applyFill="1" applyBorder="1" applyAlignment="1">
      <alignment horizontal="left" vertical="top"/>
    </xf>
    <xf numFmtId="0" fontId="5" fillId="18" borderId="1" xfId="0" applyFont="1" applyFill="1" applyBorder="1" applyAlignment="1">
      <alignment horizontal="left" vertical="top"/>
    </xf>
    <xf numFmtId="0" fontId="13" fillId="8" borderId="1" xfId="0" applyFont="1" applyFill="1" applyBorder="1" applyAlignment="1">
      <alignment horizontal="left" vertical="top"/>
    </xf>
    <xf numFmtId="0" fontId="13" fillId="19" borderId="1" xfId="0" applyFont="1" applyFill="1" applyBorder="1" applyAlignment="1">
      <alignment horizontal="left" vertical="top"/>
    </xf>
    <xf numFmtId="0" fontId="6" fillId="12" borderId="1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0" fillId="20" borderId="0" xfId="0" applyFill="1"/>
    <xf numFmtId="0" fontId="7" fillId="20" borderId="1" xfId="0" applyFont="1" applyFill="1" applyBorder="1" applyAlignment="1">
      <alignment horizontal="left" vertical="top"/>
    </xf>
    <xf numFmtId="0" fontId="14" fillId="20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30"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Kumar" refreshedDate="46212.68488645833" createdVersion="8" refreshedVersion="8" minRefreshableVersion="3" recordCount="78" xr:uid="{A5B18271-0FF0-4588-BC01-1C1886AA33B0}">
  <cacheSource type="worksheet">
    <worksheetSource ref="A1:P79" sheet="Component Detail"/>
  </cacheSource>
  <cacheFields count="15">
    <cacheField name="Group" numFmtId="0">
      <sharedItems count="2">
        <s v="Leadership"/>
        <s v="Advisor"/>
      </sharedItems>
    </cacheField>
    <cacheField name="Dashboard / Page" numFmtId="0">
      <sharedItems/>
    </cacheField>
    <cacheField name="Component Type" numFmtId="0">
      <sharedItems/>
    </cacheField>
    <cacheField name="Component Name" numFmtId="0">
      <sharedItems/>
    </cacheField>
    <cacheField name="Details / Columns" numFmtId="0">
      <sharedItems/>
    </cacheField>
    <cacheField name="Source / KPI Ref" numFmtId="0">
      <sharedItems/>
    </cacheField>
    <cacheField name="Status" numFmtId="0">
      <sharedItems/>
    </cacheField>
    <cacheField name="KPI/Chart ID" numFmtId="0">
      <sharedItems/>
    </cacheField>
    <cacheField name="SQL Query (Insigneo Query col)" numFmtId="0">
      <sharedItems longText="1"/>
    </cacheField>
    <cacheField name="Category (logic doc)" numFmtId="0">
      <sharedItems/>
    </cacheField>
    <cacheField name="Impact vs our dashboard" numFmtId="0">
      <sharedItems count="9">
        <s v="3 - Data Not Available"/>
        <s v="1 - Done"/>
        <s v="2 - In Progress"/>
        <s v="5 - Insights"/>
        <s v="4 - Partial achieved"/>
        <s v="2 - Logic can be driven"/>
        <s v="4- Insights" u="1"/>
        <s v="N/A - UI/placeholder" u="1"/>
        <s v="4- Come from Insights" u="1"/>
      </sharedItems>
    </cacheField>
    <cacheField name="Remark (category &amp; reason)" numFmtId="0">
      <sharedItems/>
    </cacheField>
    <cacheField name="Status2" numFmtId="0">
      <sharedItems containsBlank="1"/>
    </cacheField>
    <cacheField name="ETA" numFmtId="0">
      <sharedItems containsNonDate="0" containsDate="1" containsString="0" containsBlank="1" minDate="2026-07-13T00:00:00" maxDate="2026-07-23T00:00:00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s v="Firm Dashboard (Leadership Home)"/>
    <s v="KPI"/>
    <s v="Firm Health (composite)"/>
    <s v="Growth %, Advisor Performance %, Revenue, Retention combined health view"/>
    <s v="Derived from Organic Growth / Revenue / Retention KPIs"/>
    <s v="Done"/>
    <s v="CHART-003"/>
    <s v="-"/>
    <s v="Data Not Available"/>
    <x v="0"/>
    <s v="Category: Data Not Available. Firm-Health ring scorecard needs advisor-performance/satisfaction signals; underlying Growth/Revenue/Retention are Done."/>
    <s v="Yes"/>
    <m/>
    <m/>
  </r>
  <r>
    <x v="0"/>
    <s v="Firm Dashboard (Leadership Home)"/>
    <s v="KPI"/>
    <s v="Firm AUM"/>
    <s v="Total active client assets + Growth %"/>
    <s v="SUM(fact_position.market_value)"/>
    <s v="Done"/>
    <s v="KPI-001"/>
    <s v="SELECT SUM(p.amount) AS total_aum_x000a_FROM positions p_x000a_JOIN financial_account a ON p.financial_account_id = a.financial_account_id_x000a_WHERE p.snapshot_date BETWEEN DATEADD(DAY, 1 - DATEPART(WEEKDAY, '2026-01-01'), '2026-01-01')_x000a_          AND DATEADD(DAY, 7 - DATEPART(WEEKDAY, '2026-01-01'), '2026-01-01')_x000a_  AND a.account_status_indicator = 'O'_x000a_  AND a.is_active = 1"/>
    <s v="Done"/>
    <x v="1"/>
    <s v="Category: Done. Total AUM logic updated in DB."/>
    <s v="Yes"/>
    <m/>
    <m/>
  </r>
  <r>
    <x v="0"/>
    <s v="Firm Dashboard (Leadership Home)"/>
    <s v="KPI"/>
    <s v="Organic Growth Rate"/>
    <s v="(NNA / Beginning AUM) × annualization; vs target %"/>
    <s v="fact_transaction + fact_position"/>
    <s v="Done"/>
    <s v="KPI-019"/>
    <s v="-"/>
    <s v="Done"/>
    <x v="1"/>
    <s v="Category: Done. Organic Growth updated in DB."/>
    <s v="Yes"/>
    <m/>
    <m/>
  </r>
  <r>
    <x v="0"/>
    <s v="Firm Dashboard (Leadership Home)"/>
    <s v="KPI"/>
    <s v="Estimated Revenue &amp; Fee Rate"/>
    <s v="Current revenue, Fee Rate (bps), QoQ change, revenue impact from fee change"/>
    <s v="fact_billing_event.net_fee / AUM"/>
    <s v="Done"/>
    <s v="KPI-046"/>
    <s v="-"/>
    <s v="(with new derived table)"/>
    <x v="0"/>
    <s v="Category: (with new derived table). Revenue &amp; fee rate via new derived table; actual revenue (net_fee) available."/>
    <s v="R&amp;D"/>
    <d v="2026-07-22T00:00:00"/>
    <m/>
  </r>
  <r>
    <x v="0"/>
    <s v="Firm Dashboard (Leadership Home)"/>
    <s v="KPI"/>
    <s v="Client Retention"/>
    <s v="(Beginning AUM - Outflows)/Beginning AUM; assets departed, alert badge"/>
    <s v="fact_position + fact_transaction"/>
    <s v="Done"/>
    <s v="KPI-020"/>
    <s v="-"/>
    <s v="Done"/>
    <x v="1"/>
    <s v="Category: Done. Client Retention updated in DB."/>
    <s v="Yes"/>
    <m/>
    <m/>
  </r>
  <r>
    <x v="0"/>
    <s v="Firm Dashboard (Leadership Home)"/>
    <s v="Chart"/>
    <s v="Firm AUM Growth Chart"/>
    <s v="Monthly AUM trend for the year (all months on X-axis)"/>
    <s v="SUM(market_value) GROUP BY month"/>
    <s v="Done"/>
    <s v="CHART-001"/>
    <s v="SELECT_x000a_    DATEFROMPARTS(YEAR(snapshot_date), MONTH(snapshot_date), 1) AS [month],_x000a_    SUM(amount) AS total_monthly_aum_x000a_FROM positions_x000a_WHERE snapshot_date &gt;= DATEADD(_x000a_    MONTH,_x000a_    -23,_x000a_    DATEFROMPARTS(YEAR(GETDATE()), MONTH(GETDATE()), 1)_x000a_)_x000a_GROUP BY DATEFROMPARTS(YEAR(snapshot_date), MONTH(snapshot_date), 1)_x000a_ORDER BY [month];"/>
    <s v="Done"/>
    <x v="1"/>
    <s v="Category: Done. 24-month AUM trend; validate window vs Insigneo (flagged 'Doubt')."/>
    <s v="Yes"/>
    <m/>
    <m/>
  </r>
  <r>
    <x v="0"/>
    <s v="Firm Dashboard (Leadership Home)"/>
    <s v="Chart"/>
    <s v="Revenue &amp; Fee Rate Chart"/>
    <s v="Composed chart: revenue vs fee compression by quarter"/>
    <s v="SUM(net_fee) &amp; (net_fee/AUM)*10000"/>
    <s v="Done"/>
    <s v="CHART-002"/>
    <s v="-"/>
    <s v="Done"/>
    <x v="0"/>
    <s v="Category: Done. Revenue &amp; Fee Rate chart logic updated in DB."/>
    <s v="R&amp;D"/>
    <d v="2026-07-22T00:00:00"/>
    <m/>
  </r>
  <r>
    <x v="0"/>
    <s v="Firm Dashboard (Leadership Home)"/>
    <s v="Chart"/>
    <s v="Retention Trend Chart"/>
    <s v="Retention % per quarter, current quarter highlighted"/>
    <s v="(Beginning AUM-Outflows)/Beginning AUM"/>
    <s v="Done"/>
    <s v="KPI-020"/>
    <s v="-"/>
    <s v="Done"/>
    <x v="1"/>
    <s v="Category: Done. Quarterly retention trend updated in DB."/>
    <s v="Yes"/>
    <m/>
    <s v="Query tobe shared"/>
  </r>
  <r>
    <x v="0"/>
    <s v="Firm Dashboard (Leadership Home)"/>
    <s v="Table"/>
    <s v="Advisor Performance Table"/>
    <s v="Cols: Advisor, AUM, NNA (QTD), Growth, Retention, HH, Revenue, Rank + underperformer alert row"/>
    <s v="fact_position/transaction/billing_event + dim_advisor"/>
    <s v="Done"/>
    <s v="CHART-004"/>
    <s v="-"/>
    <s v="Data Not Available"/>
    <x v="0"/>
    <s v="Category: Data Not Available. Advisor Performance leaderboard flagged data-gap; core columns come from Done KPIs."/>
    <m/>
    <m/>
    <m/>
  </r>
  <r>
    <x v="0"/>
    <s v="Firm Dashboard (Leadership Home)"/>
    <s v="Panel"/>
    <s v="Firm AUM Drilldown"/>
    <s v="Top 5 advisor AUM, avg AUM/advisor, avg HH/advisor, NNA QTD, Market appreciation QTD"/>
    <s v="On-click drilldown"/>
    <s v="Done"/>
    <s v="KPI-054"/>
    <s v="SELECT SUM(p.amount) / NULLIF(COUNT(DISTINCT a.investment_professional_number), 0) AS aum_per_advisor_x000a_FROM positions p_x000a_JOIN financial_account a ON p.financial_account_id = a.financial_account_id_x000a_WHERE CAST(p.snapshot_date AS DATE) BETWEEN DATEADD(DAY, 1 - DATEPART(WEEKDAY, '2026-01-01'), '2026-01-01')_x000a_          AND DATEADD(DAY, 7 - DATEPART(WEEKDAY, '2026-01-01'), '2026-01-01')_x000a_  AND a.account_status_indicator = 'O'_x000a_  AND a.is_active = 1"/>
    <s v="Done"/>
    <x v="1"/>
    <s v="Category: Done. Drilldown metrics (avg AUM/HH per advisor, NNA, market appreciation) updated in DB."/>
    <m/>
    <m/>
    <m/>
  </r>
  <r>
    <x v="0"/>
    <s v="Firm Dashboard (Leadership Home)"/>
    <s v="Panel"/>
    <s v="Retention Drilldown"/>
    <s v="Assets departed, households departed, revenue lost, advisor-wise attrition"/>
    <s v="On-click drilldown"/>
    <s v="Done"/>
    <s v="KPI-065"/>
    <s v="WITH departed_hh AS (_x000a_  SELECT h.id, MAX(a.date_account_closed) AS close_date_x000a_  FROM financial_account a_x000a_  JOIN household_details h ON h.financial_account_id = a.financial_account_id_x000a_  WHERE a.is_active = 1_x000a_  GROUP BY h.id_x000a_  HAVING COUNT(CASE WHEN a.account_status_indicator != 'C' THEN 1 END) = 0_x000a_    AND MAX(a.date_account_closed) BETWEEN @start_date AND @end_date_x000a_),_x000a_last_active AS (_x000a_  SELECT h.id, MAX(p.snapshot_date) AS last_position_date_x000a_  FROM positions p_x000a_  JOIN household_details h ON h.financial_account_id = p.financial_account_id_x000a_  JOIN departed_hh d ON h.id = d.id_x000a_  WHERE CAST(p.snapshot_date AS DATE) &lt; CAST(d.close_date AS DATE)_x000a_  GROUP BY h.id_x000a_)_x000a_SELECT SUM(p.amount) AS assets_departed_x000a_FROM positions p_x000a_JOIN household_details h ON h.financial_account_id = p.financial_account_id_x000a_JOIN last_active l_x000a_  ON h.id = l.id_x000a_ AND p.snapshot_date = l.last_position_date"/>
    <s v="Done"/>
    <x v="1"/>
    <s v="Category: Done. Assets/HH departed &amp; revenue-lost updated in DB."/>
    <m/>
    <m/>
    <m/>
  </r>
  <r>
    <x v="0"/>
    <s v="Advisor Intelligence Dashboard (Leadership View)"/>
    <s v="KPI"/>
    <s v="Top AUM Growth"/>
    <s v="Advisor with highest AUM growth % (name, current AUM)"/>
    <s v="KPI-058 Advisor Growth Rate"/>
    <s v="Done"/>
    <s v="KPI-058"/>
    <s v="WITH current_aum AS (_x000a_  SELECT a.investment_professional_number, SUM(p.amount) AS aum_x000a_  FROM positions p_x000a_  JOIN financial_account a ON p.financial_account_id = a.financial_account_id_x000a_  WHERE CAST(p.snapshot_date AS DATE) BETWEEN DATEADD(DAY, 1 - DATEPART(WEEKDAY, '2026-01-01'), '2026-01-01')_x000a_          AND DATEADD(DAY, 7 - DATEPART(WEEKDAY, '2026-01-01'), '2026-01-01')_x000a_    AND a.account_status_indicator = 'O'_x000a_    AND a.is_active = 1_x000a_  GROUP BY a.investment_professional_number_x000a_),_x000a_prior_aum AS (_x000a_  SELECT a.investment_professional_number, SUM(p.amount) AS aum_x000a_  FROM positions p_x000a_  JOIN financial_account a ON p.financial_account_id = a.financial_account_id_x000a_  WHERE CAST(p.snapshot_date AS DATE) BETWEEN DATEADD(YEAR, -1, DATEADD(DAY, 1 - DATEPART(WEEKDAY, '2026-01-01'), '2026-01-01'))_x000a_                                        AND DATEADD(YEAR, -1, DATEADD(DAY, 7 - DATEPART(WEEKDAY, '2026-01-01'), '2026-01-01'))_x000a_    AND a.account_status_indicator = 'O'_x000a_    AND a.is_active = 1_x000a_  GROUP BY a.investment_professional_number_x000a_)_x000a_SELECT c.investment_professional_number,_x000a_  (c.aum - COALESCE(pr.aum, 0)) / NULLIF(pr.aum, 0) * 100 AS growth_rate_x000a_FROM current_aum c_x000a_LEFT JOIN prior_aum pr ON c.investment_professional_number = pr.investment_professional_number"/>
    <s v="Done"/>
    <x v="1"/>
    <s v="Category: Done. Top AUM Growth card updated in DB."/>
    <m/>
    <m/>
    <m/>
  </r>
  <r>
    <x v="0"/>
    <s v="Advisor Intelligence Dashboard (Leadership View)"/>
    <s v="KPI"/>
    <s v="Most Net New Money"/>
    <s v="Advisor with highest inflow; % vs target"/>
    <s v="KPI-016 Net New Assets"/>
    <s v="Done"/>
    <s v="KPI-016"/>
    <s v="('RFF', 'CSR', --cash in(value in -ve)_x000a_'SFF','PCC') -- cash out(value in +ve)_x000a_SELECT_x000a_  SUM(CASE WHEN t.transaction_code IN ('CONTRIBUTION','TRANSFER_IN', 'RFF', 'CSR') THEN ABS(t.amount) ELSE 0 END)_x000a_  - SUM(CASE WHEN t.transaction_code IN ('DISTRIBUTION','TRANSFER_OUT', 'SFF','PCC') THEN (t.amount) ELSE 0 END)_x000a_  AS net_new_assets_x000a_FROM transactions t_x000a_JOIN financial_account a ON t.financial_account_id = a.financial_account_id_x000a_WHERE CAST(t.transaction_date AS DATE) BETWEEN '2026-01-01' AND '2026-01-31'_x000a_  AND t.cancel_code = 0"/>
    <s v="Done"/>
    <x v="1"/>
    <s v="Category: Done. Most Net New Money updated in DB."/>
    <m/>
    <m/>
    <m/>
  </r>
  <r>
    <x v="0"/>
    <s v="Advisor Intelligence Dashboard (Leadership View)"/>
    <s v="KPI"/>
    <s v="Best Client Retention"/>
    <s v="Advisor retaining highest client assets (trailing 12M)"/>
    <s v="KPI-020 Client Retention Rate"/>
    <s v="Done"/>
    <s v="KPI-020"/>
    <s v="-"/>
    <s v="Done"/>
    <x v="1"/>
    <s v="Category: Done. Best Client Retention updated in DB."/>
    <s v="Yes"/>
    <m/>
    <s v="Query tobe shared"/>
  </r>
  <r>
    <x v="0"/>
    <s v="Advisor Intelligence Dashboard (Leadership View)"/>
    <s v="KPI"/>
    <s v="Highest Satisfaction"/>
    <s v="Best client satisfaction score / proxy (TBD - no Insigneo data)"/>
    <s v="fact_client_360.satisfaction_score / proxy"/>
    <s v="TBD data"/>
    <s v="TABLE-LD-ADV-08"/>
    <s v="-"/>
    <s v="Data Not Available"/>
    <x v="0"/>
    <s v="Category: Data Not Available. Highest Satisfaction - no satisfaction data in Insigneo (proxy TBD)."/>
    <m/>
    <m/>
    <m/>
  </r>
  <r>
    <x v="0"/>
    <s v="Advisor Intelligence Dashboard (Leadership View)"/>
    <s v="Chart"/>
    <s v="AUM Trend by Advisor"/>
    <s v="Multi-line chart, one line per advisor, monthly; top 5 default"/>
    <s v="SUM(market_value) GROUP BY advisor_id, month"/>
    <s v="Done"/>
    <s v="CHART-021"/>
    <s v="SELECT_x000a_  DATEFROMPARTS(YEAR(fp.snapshot_date), MONTH(fp.snapshot_date), 1) AS [month],_x000a_  fp.investment_professional_number,_x000a_  --adv.full_name,_x000a_  SUM(ABS(fp.amount))                    AS aum_x000a_FROM positions fp_x000a_--JOIN gold.dim_advisor adv ON fp.advisor_id = adv.advisor_id_x000a_WHERE _x000a_--fp.snapshot_date = LAST_DAY(DATE_TRUNC('month', fp.snapshot_date)) AND CAST(fp.snapshot_date AS DATE) &gt;= DATEADD(_x000a_        MONTH,_x000a_        -11,_x000a_        DATEFROMPARTS(YEAR(GETDATE()), MONTH(GETDATE()), 1)_x000a_    )_x000a_GROUP BY DATEFROMPARTS(YEAR(fp.snapshot_date), MONTH(fp.snapshot_date), 1), fp.investment_professional_number --, 3_x000a_ORDER BY DATEFROMPARTS(YEAR(fp.snapshot_date), MONTH(fp.snapshot_date), 1), SUM(ABS(fp.amount)) DESC;"/>
    <s v="Done"/>
    <x v="1"/>
    <s v="Category: Done. AUM trend by advisor; validate vs Insigneo (flagged 'Doubt')."/>
    <m/>
    <m/>
    <m/>
  </r>
  <r>
    <x v="0"/>
    <s v="Advisor Intelligence Dashboard (Leadership View)"/>
    <s v="Chart"/>
    <s v="Metric Comparison - YTD Growth %"/>
    <s v="Horizontal bar per advisor"/>
    <s v="KPI-058"/>
    <s v="Done"/>
    <s v="KPI-058"/>
    <s v="WITH current_aum AS (_x000a_  SELECT a.investment_professional_number, SUM(p.amount) AS aum_x000a_  FROM positions p_x000a_  JOIN financial_account a ON p.financial_account_id = a.financial_account_id_x000a_  WHERE CAST(p.snapshot_date AS DATE) BETWEEN DATEADD(DAY, 1 - DATEPART(WEEKDAY, '2026-01-01'), '2026-01-01')_x000a_          AND DATEADD(DAY, 7 - DATEPART(WEEKDAY, '2026-01-01'), '2026-01-01')_x000a_    AND a.account_status_indicator = 'O'_x000a_    AND a.is_active = 1_x000a_  GROUP BY a.investment_professional_number_x000a_),_x000a_prior_aum AS (_x000a_  SELECT a.investment_professional_number, SUM(p.amount) AS aum_x000a_  FROM positions p_x000a_  JOIN financial_account a ON p.financial_account_id = a.financial_account_id_x000a_  WHERE CAST(p.snapshot_date AS DATE) BETWEEN DATEADD(YEAR, -1, DATEADD(DAY, 1 - DATEPART(WEEKDAY, '2026-01-01'), '2026-01-01'))_x000a_                                        AND DATEADD(YEAR, -1, DATEADD(DAY, 7 - DATEPART(WEEKDAY, '2026-01-01'), '2026-01-01'))_x000a_    AND a.account_status_indicator = 'O'_x000a_    AND a.is_active = 1_x000a_  GROUP BY a.investment_professional_number_x000a_)_x000a_SELECT c.investment_professional_number,_x000a_  (c.aum - COALESCE(pr.aum, 0)) / NULLIF(pr.aum, 0) * 100 AS growth_rate_x000a_FROM current_aum c_x000a_LEFT JOIN prior_aum pr ON c.investment_professional_number = pr.investment_professional_number"/>
    <s v="Done"/>
    <x v="1"/>
    <s v="Category: Done. YTD Growth comparison bar updated in DB."/>
    <m/>
    <m/>
    <m/>
  </r>
  <r>
    <x v="0"/>
    <s v="Advisor Intelligence Dashboard (Leadership View)"/>
    <s v="Chart"/>
    <s v="Metric Comparison - Retention %"/>
    <s v="Horizontal bar per advisor"/>
    <s v="KPI-020"/>
    <s v="Done"/>
    <s v="KPI-020"/>
    <s v="-"/>
    <s v="Done"/>
    <x v="1"/>
    <s v="Category: Done. Retention comparison bar updated in DB."/>
    <s v="Yes"/>
    <m/>
    <s v="Query tobe shared"/>
  </r>
  <r>
    <x v="0"/>
    <s v="Advisor Intelligence Dashboard (Leadership View)"/>
    <s v="Chart"/>
    <s v="Metric Comparison - NNM Goal %"/>
    <s v="Horizontal bar per advisor (TBD target)"/>
    <s v="NNM Achieved/Target"/>
    <s v="TBD data"/>
    <s v="-"/>
    <s v="-"/>
    <s v="Data Not Available"/>
    <x v="0"/>
    <s v="Category: Data Not Available. NNM Goal % - target not available (backend config missing)."/>
    <m/>
    <m/>
    <m/>
  </r>
  <r>
    <x v="0"/>
    <s v="Advisor Intelligence Dashboard (Leadership View)"/>
    <s v="Chart"/>
    <s v="Metric Comparison - Satisfaction"/>
    <s v="Horizontal bar per advisor (0-5)"/>
    <s v="AVG satisfaction / proxy"/>
    <s v="TBD data"/>
    <s v="TABLE-LD-ADV-08"/>
    <s v="-"/>
    <s v="Data Not Available"/>
    <x v="0"/>
    <s v="Category: Data Not Available. Satisfaction comparison bar - data not available."/>
    <m/>
    <m/>
    <m/>
  </r>
  <r>
    <x v="0"/>
    <s v="Advisor Intelligence Dashboard (Leadership View)"/>
    <s v="Table"/>
    <s v="Advisor Comparison Table"/>
    <s v="Cols: Advisor, AUM, Households, YTD Growth, Vs Benchmark, NNM YTD, NNM Goal %, Revenue, Retention, Satisfaction, Risk Score"/>
    <s v="KPI-009/016/020/047/058 + derived"/>
    <s v="Done"/>
    <s v="CHART-022"/>
    <s v="-"/>
    <s v="Data Not Available"/>
    <x v="0"/>
    <s v="Category: Data Not Available. Advisor Comparison table flagged data-gap; blocked columns: Vs-Benchmark (alpha), Satisfaction, Overdue Reviews. Other columns from Done KPIs."/>
    <m/>
    <m/>
    <m/>
  </r>
  <r>
    <x v="0"/>
    <s v="Household Insights Dashboard (Leadership View)"/>
    <s v="KPI"/>
    <s v="Total Households"/>
    <s v="Count of unique active households"/>
    <s v="COUNT DISTINCT household_id"/>
    <s v="Done"/>
    <s v="KPI-008"/>
    <s v="-"/>
    <s v="(with new derived table)"/>
    <x v="2"/>
    <s v="Category: (with new derived table). Total Households via new derived table."/>
    <s v="Yes"/>
    <m/>
    <m/>
  </r>
  <r>
    <x v="0"/>
    <s v="Household Insights Dashboard (Leadership View)"/>
    <s v="KPI"/>
    <s v="High Risk Households"/>
    <s v="Households with Risk Score &gt;= high threshold"/>
    <s v="Weighted concentration/drift/cash"/>
    <s v="Done"/>
    <s v="KPI-072"/>
    <s v="-"/>
    <s v="Data Not Available"/>
    <x v="0"/>
    <s v="Category: Data Not Available. High Risk Households - needs drift/cost-basis/unrealized/model/engagement signals not in Insigneo."/>
    <m/>
    <m/>
    <m/>
  </r>
  <r>
    <x v="0"/>
    <s v="Household Insights Dashboard (Leadership View)"/>
    <s v="KPI"/>
    <s v="Reviews Overdue"/>
    <s v="Households past review SLA (TBD data)"/>
    <s v="Days since last review &gt; cycle"/>
    <s v="TBD data"/>
    <s v="TABLE-LD-HH-06"/>
    <s v="-"/>
    <s v="Data Not Available"/>
    <x v="0"/>
    <s v="Category: Data Not Available. Reviews Overdue - no client-review data in Insigneo."/>
    <m/>
    <m/>
    <m/>
  </r>
  <r>
    <x v="0"/>
    <s v="Household Insights Dashboard (Leadership View)"/>
    <s v="KPI"/>
    <s v="Avg YTD Return"/>
    <s v="AUM-weighted YTD return across households"/>
    <s v="SUM(ytd_return×beg_value)/SUM(beg_value)"/>
    <s v="Done"/>
    <s v="TABLE-LD-HH-02"/>
    <s v="-"/>
    <s v="Data Not Available"/>
    <x v="0"/>
    <s v="Category: Data Not Available. Avg YTD Return - no performance table in Insigneo."/>
    <m/>
    <m/>
    <m/>
  </r>
  <r>
    <x v="0"/>
    <s v="Household Insights Dashboard (Leadership View)"/>
    <s v="Filter/Control"/>
    <s v="Search &amp; Filters"/>
    <s v="Search (household/client), Advisor filter, Risk filter (High/Med/Low)"/>
    <s v="UI controls"/>
    <s v="Done"/>
    <s v="-"/>
    <s v="-"/>
    <s v="-"/>
    <x v="3"/>
    <s v="Category: -. Search/Advisor filter is UI; Risk filter depends on blocked risk data."/>
    <m/>
    <m/>
    <m/>
  </r>
  <r>
    <x v="0"/>
    <s v="Household Insights Dashboard (Leadership View)"/>
    <s v="Table"/>
    <s v="Household Intelligence Table"/>
    <s v="Cols: Household, Advisor, AUM, YTD Return, Vs Benchmark, Model Drift, Risk, Last Review (TBD)"/>
    <s v="fact_position/performance + dim_household"/>
    <s v="Done"/>
    <s v="CHART-024"/>
    <s v="-"/>
    <s v="Data Not Available"/>
    <x v="0"/>
    <s v="Category: Data Not Available. Household Insights table flagged data-gap; blocked columns: YTD Return, Vs Benchmark, Model Drift, Risk, Last Review, Open Alerts."/>
    <m/>
    <m/>
    <m/>
  </r>
  <r>
    <x v="0"/>
    <s v="Household Insights Dashboard (Leadership View)"/>
    <s v="Panel"/>
    <s v="Household Detail Side Panel"/>
    <s v="AUM, YTD Return, Vs Benchmark, Model Drift, Unrealized G/L, Cash Drag, Model Portfolio, Client Retention Risk (TBD), Review Status (TBD)"/>
    <s v="On-row-click drilldown"/>
    <s v="Done"/>
    <s v="KPI-038"/>
    <s v="-"/>
    <s v="Data Available/Calculation Required"/>
    <x v="4"/>
    <s v="Category: Data Available/Calculation Required. Side panel needs Unrealized G/L, Model Drift, Retention Risk, Review Status - not in Insigneo. AUM/Cash Drag available."/>
    <m/>
    <m/>
    <m/>
  </r>
  <r>
    <x v="1"/>
    <s v="Advisor Home Dashboard"/>
    <s v="KPI"/>
    <s v="Total AUM"/>
    <s v="Total AUM + quarterly growth %, target achievement %, progress bar"/>
    <s v="SUM(market_value latest snapshot)"/>
    <s v="Done"/>
    <s v="KPI-001"/>
    <s v="SELECT SUM(p.amount) AS total_aum_x000a_FROM positions p_x000a_JOIN financial_account a ON p.financial_account_id = a.financial_account_id_x000a_WHERE p.snapshot_date BETWEEN DATEADD(DAY, 1 - DATEPART(WEEKDAY, '2026-01-01'), '2026-01-01')_x000a_          AND DATEADD(DAY, 7 - DATEPART(WEEKDAY, '2026-01-01'), '2026-01-01')_x000a_  AND a.account_status_indicator = 'O'_x000a_  AND a.is_active = 1"/>
    <s v="Done"/>
    <x v="1"/>
    <s v="Category: Done. Total AUM updated in DB."/>
    <m/>
    <m/>
    <m/>
  </r>
  <r>
    <x v="1"/>
    <s v="Advisor Home Dashboard"/>
    <s v="KPI"/>
    <s v="Net New Assets (QTD)"/>
    <s v="Quarterly inflow, organic growth %, goal status"/>
    <s v="Contributions+TransfersIn - Withdrawals-TransfersOut"/>
    <s v="Done"/>
    <s v="KPI-016"/>
    <s v="('RFF', 'CSR', --cash in(value in -ve)_x000a_'SFF','PCC') -- cash out(value in +ve)_x000a_SELECT_x000a_  SUM(CASE WHEN t.transaction_code IN ('CONTRIBUTION','TRANSFER_IN', 'RFF', 'CSR') THEN ABS(t.amount) ELSE 0 END)_x000a_  - SUM(CASE WHEN t.transaction_code IN ('DISTRIBUTION','TRANSFER_OUT', 'SFF','PCC') THEN (t.amount) ELSE 0 END)_x000a_  AS net_new_assets_x000a_FROM transactions t_x000a_JOIN financial_account a ON t.financial_account_id = a.financial_account_id_x000a_WHERE CAST(t.transaction_date AS DATE) BETWEEN '2026-01-01' AND '2026-01-31'_x000a_  AND t.cancel_code = 0"/>
    <s v="Done"/>
    <x v="1"/>
    <s v="Category: Done. Net New Assets updated in DB."/>
    <m/>
    <m/>
    <m/>
  </r>
  <r>
    <x v="1"/>
    <s v="Advisor Home Dashboard"/>
    <s v="KPI"/>
    <s v="Idle Cash"/>
    <s v="Idle cash amount, % of AUM, impacted households"/>
    <s v="fact_cash_balance / AUM"/>
    <s v="Done"/>
    <s v="KPI-013"/>
    <s v="-"/>
    <s v="(with new derived table)"/>
    <x v="2"/>
    <s v="Category: (with new derived table). Idle Cash via new derived table."/>
    <s v="Yes"/>
    <m/>
    <m/>
  </r>
  <r>
    <x v="1"/>
    <s v="Advisor Home Dashboard"/>
    <s v="KPI"/>
    <s v="Concentration Risk"/>
    <s v="Accounts breaching limits, top security, severity"/>
    <s v="Position value/portfolio &gt; 10%"/>
    <s v="Done"/>
    <s v="KPI-049"/>
    <s v="WITH acct_concentration AS (_x000a_  SELECT p.financial_account_id,_x000a_    MAX(p.amount) / NULLIF(SUM(p.amount), 0) * 100 AS max_pct_x000a_  FROM positions p_x000a_  WHERE CAST(p.snapshot_date AS DATE) BETWEEN DATEADD(DAY, 1 - DATEPART(WEEKDAY, '2026-01-01'), '2026-01-01')_x000a_          AND DATEADD(DAY, 7 - DATEPART(WEEKDAY, '2026-01-01'), '2026-01-01')_x000a_  GROUP BY p.financial_account_id_x000a_)_x000a_SELECT COUNT(*) AS over_limit_x000a_FROM acct_concentration_x000a_WHERE max_pct &gt; 10"/>
    <s v="Done"/>
    <x v="1"/>
    <s v="Category: Done. Concentration Risk updated in DB."/>
    <m/>
    <m/>
    <m/>
  </r>
  <r>
    <x v="1"/>
    <s v="Advisor Home Dashboard"/>
    <s v="Widget"/>
    <s v="Portfolio Health"/>
    <s v="% households aligned to model, drifting accounts, circular progress"/>
    <s v="Accounts within ±5% drift / total"/>
    <s v="Done"/>
    <s v="KPI-070"/>
    <s v="-"/>
    <s v="Data Not Available"/>
    <x v="0"/>
    <s v="Category: Data Not Available. Portfolio Health % - needs model-portfolio &amp; drift, not in Insigneo."/>
    <m/>
    <m/>
    <m/>
  </r>
  <r>
    <x v="1"/>
    <s v="Advisor Home Dashboard"/>
    <s v="Widget"/>
    <s v="Client Engagement"/>
    <s v="Meeting completion %, overdue reviews, circular progress"/>
    <s v="fact_client_360"/>
    <s v="Done"/>
    <s v="KPI-071"/>
    <s v="-"/>
    <s v="Data Not Available"/>
    <x v="0"/>
    <s v="Category: Data Not Available. Client Engagement - needs meeting/last-meeting data, not in Insigneo."/>
    <m/>
    <m/>
    <m/>
  </r>
  <r>
    <x v="1"/>
    <s v="Advisor Home Dashboard"/>
    <s v="Widget"/>
    <s v="Risk Alerts"/>
    <s v="Counts of critical / warning / opportunity items"/>
    <s v="Signal/Insights framework"/>
    <s v="Done"/>
    <s v="KPI-072"/>
    <s v="-"/>
    <s v="Data Not Available"/>
    <x v="0"/>
    <s v="Category: Data Not Available. Risk Alerts - needs multi-signal risk data, not in Insigneo."/>
    <m/>
    <m/>
    <m/>
  </r>
  <r>
    <x v="1"/>
    <s v="Advisor Home Dashboard"/>
    <s v="Widget"/>
    <s v="Upcoming Activities"/>
    <s v="Upcoming meetings, report reminders, review due dates"/>
    <s v="Calendar/events"/>
    <s v="Done"/>
    <s v="-"/>
    <s v="-"/>
    <s v="Data Not Available"/>
    <x v="0"/>
    <s v="Category: Data Not Available. Upcoming Activities - no meeting/review calendar data in Insigneo."/>
    <m/>
    <m/>
    <m/>
  </r>
  <r>
    <x v="1"/>
    <s v="Advisor Home Dashboard"/>
    <s v="Panel"/>
    <s v="Morning Briefing Panel"/>
    <s v="AI/rules daily insights (growth, risk, idle cash, tax) - expandable cards"/>
    <s v="Stage-1 agent insights"/>
    <s v="Done"/>
    <s v="KPI-043"/>
    <s v="-"/>
    <s v="Data Available/Calculation Required"/>
    <x v="3"/>
    <s v="Category: Data Available/Calculation Required. Morning Briefing - insights framework; tax-harvest calc-derivable, some risk insights blocked."/>
    <m/>
    <m/>
    <m/>
  </r>
  <r>
    <x v="1"/>
    <s v="Advisor Home Dashboard"/>
    <s v="Panel"/>
    <s v="Priority Actions Panel"/>
    <s v="Ranked advisor actions with severity + deep-link (see US 16010)"/>
    <s v="Insights / Stage-2 agents"/>
    <s v="Framework"/>
    <s v="-"/>
    <s v="-"/>
    <s v="-"/>
    <x v="3"/>
    <s v="Category: -. Priority Actions - Stage-2 agent framework, not data-driven yet."/>
    <m/>
    <m/>
    <m/>
  </r>
  <r>
    <x v="1"/>
    <s v="Advisor Home Dashboard"/>
    <s v="Panel"/>
    <s v="Market News (Placeholder)"/>
    <s v="Reserved 'Coming Soon' market news container"/>
    <s v="Placeholder"/>
    <s v="Done"/>
    <s v="-"/>
    <s v="-"/>
    <s v="-"/>
    <x v="3"/>
    <s v="Category: -. Market News placeholder."/>
    <m/>
    <m/>
    <m/>
  </r>
  <r>
    <x v="1"/>
    <s v="Advisor Home Dashboard"/>
    <s v="Panel"/>
    <s v="Portfolio Intelligence (Placeholder)"/>
    <s v="Future real-time market signal panel (Epic 26 / Stage 2)"/>
    <s v="Placeholder (US 16011)"/>
    <s v="Done"/>
    <s v="-"/>
    <s v="-"/>
    <s v="-"/>
    <x v="3"/>
    <s v="Category: -. Portfolio Intelligence placeholder (Stage-2 / Epic 26)."/>
    <m/>
    <m/>
    <m/>
  </r>
  <r>
    <x v="1"/>
    <s v="Advisor Home Dashboard"/>
    <s v="Table"/>
    <s v="Households Needing Attention"/>
    <s v="Household, AUM, issue summary, urgency (High/Med/Low); flag rules idle cash/concentration/attrition/drift"/>
    <s v="fact_position/cash/client_360 flag logic"/>
    <s v="Done"/>
    <s v="KPI-050"/>
    <s v="-"/>
    <s v="(with new derived table)"/>
    <x v="2"/>
    <s v="Category: (with new derived table). Households Needing Attention - concentration &amp; idle-cash flags available (derived); model-drift &amp; engagement-gap flags blocked."/>
    <s v="Yes"/>
    <m/>
    <s v="Drift can't be achieved"/>
  </r>
  <r>
    <x v="1"/>
    <s v="Advisor Home Dashboard"/>
    <s v="Chart"/>
    <s v="AUM Trend Analytics"/>
    <s v="Monthly AUM line chart, 3M/6M/12M filters"/>
    <s v="Monthly SUM(market_value)"/>
    <s v="Done"/>
    <s v="CHART-005"/>
    <s v="SELECT_x000a_    DATEFROMPARTS(YEAR(fp.snapshot_date), MONTH(fp.snapshot_date), 1) AS [month],_x000a_    SUM(ABS(fp.amount)) AS aum_x000a_FROM positions fp_x000a_WHERE fp.investment_professional_number = 'N04'_x000a_    -- AND CAST(fp.snapshot_date AS DATE) = EOMONTH(fp.snapshot_date)_x000a_    AND CAST(fp.snapshot_date AS DATE) &gt;= DATEADD(_x000a_        MONTH,_x000a_        -5,_x000a_        DATEFROMPARTS(YEAR(GETDATE()), MONTH(GETDATE()), 1)_x000a_    )_x000a_GROUP BY_x000a_    DATEFROMPARTS(YEAR(fp.snapshot_date), MONTH(fp.snapshot_date), 1)_x000a_ORDER BY_x000a_    [month];"/>
    <s v="Done"/>
    <x v="1"/>
    <s v="Category: Done. 6-month AUM trend; validate vs Insigneo (flagged 'Doubt')."/>
    <m/>
    <m/>
    <m/>
  </r>
  <r>
    <x v="1"/>
    <s v="Advisor Home Dashboard"/>
    <s v="Chart"/>
    <s v="Allocation vs Target Analytics"/>
    <s v="Current vs target allocation by asset class + over/under indicators"/>
    <s v="asset class value/AUM vs model"/>
    <s v="Done"/>
    <s v="CHART-006"/>
    <s v="-"/>
    <s v="Data Not Available"/>
    <x v="0"/>
    <s v="Category: Data Not Available. Allocation-vs-Target - needs model target allocation, not in Insigneo."/>
    <m/>
    <m/>
    <m/>
  </r>
  <r>
    <x v="1"/>
    <s v="Household Management Dashboard"/>
    <s v="KPI"/>
    <s v="Total AUM"/>
    <s v="Total AUM aggregated across all households"/>
    <s v="SUM(dim_household.total_aum)"/>
    <s v="Done"/>
    <s v="KPI-001"/>
    <s v="SELECT SUM(p.amount) AS total_aum_x000a_FROM positions p_x000a_JOIN financial_account a ON p.financial_account_id = a.financial_account_id_x000a_WHERE p.snapshot_date BETWEEN DATEADD(DAY, 1 - DATEPART(WEEKDAY, '2026-01-01'), '2026-01-01')_x000a_          AND DATEADD(DAY, 7 - DATEPART(WEEKDAY, '2026-01-01'), '2026-01-01')_x000a_  AND a.account_status_indicator = 'O'_x000a_  AND a.is_active = 1"/>
    <s v="Done"/>
    <x v="1"/>
    <s v="Category: Done. Total AUM updated in DB."/>
    <m/>
    <m/>
    <m/>
  </r>
  <r>
    <x v="1"/>
    <s v="Household Management Dashboard"/>
    <s v="KPI"/>
    <s v="Total Households"/>
    <s v="Count of households for advisor"/>
    <s v="COUNT(household_id)"/>
    <s v="Done"/>
    <s v="KPI-008"/>
    <s v="-"/>
    <s v="(with new derived table)"/>
    <x v="2"/>
    <s v="Category: (with new derived table). Total Households via new derived table."/>
    <s v="Yes"/>
    <m/>
    <s v="Query tobe shared"/>
  </r>
  <r>
    <x v="1"/>
    <s v="Household Management Dashboard"/>
    <s v="Chart"/>
    <s v="AUM by Segment"/>
    <s v="AUM split UHNW / HNW / Mass Affluent (% contribution)"/>
    <s v="segment_override else segment"/>
    <s v="Done"/>
    <s v="KPI-069"/>
    <s v="-"/>
    <s v="Data Not Available"/>
    <x v="0"/>
    <s v="Category: Data Not Available. AUM by Segment - client segment not in Insigneo."/>
    <m/>
    <m/>
    <m/>
  </r>
  <r>
    <x v="1"/>
    <s v="Household Management Dashboard"/>
    <s v="Chart"/>
    <s v="Household Count by Segment"/>
    <s v="Household count per segment"/>
    <s v="grouped count by segment"/>
    <s v="Done"/>
    <s v="KPI-069"/>
    <s v="-"/>
    <s v="Data Not Available"/>
    <x v="0"/>
    <s v="Category: Data Not Available. Household Count by Segment - client segment not in Insigneo."/>
    <m/>
    <m/>
    <m/>
  </r>
  <r>
    <x v="1"/>
    <s v="Household Management Dashboard"/>
    <s v="Chart"/>
    <s v="Asset Allocation Overview"/>
    <s v="Allocation across Equity / Fixed Income / Cash / Other"/>
    <s v="portfolio/holdings data"/>
    <s v="Done"/>
    <s v="CHART-018"/>
    <s v="-"/>
    <s v="Data Available/Calculation Required"/>
    <x v="2"/>
    <s v="Category: Data Available/Calculation Required. Asset Allocation Overview - derivable/calc required in DB."/>
    <s v="Yes"/>
    <m/>
    <m/>
  </r>
  <r>
    <x v="1"/>
    <s v="Household Management Dashboard"/>
    <s v="Filter/Control"/>
    <s v="Search / Segment / Status Filters + Sort"/>
    <s v="Search (household/client/account); Segment (All/Mass Affluent/HNW/UHNW); Status (All/Active/At Risk/New); Sort (AUM/Name/YTD/Cash%)"/>
    <s v="UI controls"/>
    <s v="Done"/>
    <s v="-"/>
    <s v="-"/>
    <s v="-"/>
    <x v="3"/>
    <s v="Category: -. Search/status/sort is UI; Segment filter &amp; YTD sort depend on blocked data."/>
    <m/>
    <m/>
    <m/>
  </r>
  <r>
    <x v="1"/>
    <s v="Household Management Dashboard"/>
    <s v="Table"/>
    <s v="Household Listing Table"/>
    <s v="Cols: Household, Primary client, Segment badge, AUM, # Accounts, Cash %, YTD %, Custodian badges, Status, Start date"/>
    <s v="dim_household + portfolio metrics"/>
    <s v="Done"/>
    <s v="TABLE-ADV-HH-03"/>
    <s v="-"/>
    <s v="Data Not Available"/>
    <x v="0"/>
    <s v="Category: Data Not Available. Household Listing works for AUM/Accounts/Cash%/Custodian/Status; YTD Return % &amp; Segment columns blocked."/>
    <m/>
    <m/>
    <m/>
  </r>
  <r>
    <x v="1"/>
    <s v="Household Detail Pages (4 tabs)"/>
    <s v="KPI"/>
    <s v="Tab1: Total AUM"/>
    <s v="Sum of market value across household accounts"/>
    <s v="fact_position via dim_account.household_id"/>
    <s v="Done"/>
    <s v="KPI-001"/>
    <s v="SELECT SUM(p.amount) AS total_aum_x000a_FROM positions p_x000a_JOIN financial_account a ON p.financial_account_id = a.financial_account_id_x000a_WHERE p.snapshot_date BETWEEN DATEADD(DAY, 1 - DATEPART(WEEKDAY, '2026-01-01'), '2026-01-01')_x000a_          AND DATEADD(DAY, 7 - DATEPART(WEEKDAY, '2026-01-01'), '2026-01-01')_x000a_  AND a.account_status_indicator = 'O'_x000a_  AND a.is_active = 1"/>
    <s v="Done"/>
    <x v="1"/>
    <s v="Category: Done. Total AUM updated in DB."/>
    <m/>
    <m/>
    <m/>
  </r>
  <r>
    <x v="1"/>
    <s v="Household Detail Pages (4 tabs)"/>
    <s v="KPI"/>
    <s v="Tab1: Cash Position"/>
    <s v="Liquid cash &amp; % of portfolio"/>
    <s v="fact_cash_balance + fact_position (KPI-011)"/>
    <s v="Done"/>
    <s v="KPI-011"/>
    <s v="-"/>
    <s v="(with new derived table)"/>
    <x v="2"/>
    <s v="Category: (with new derived table). Cash Position via new derived table."/>
    <s v="Yes"/>
    <m/>
    <m/>
  </r>
  <r>
    <x v="1"/>
    <s v="Household Detail Pages (4 tabs)"/>
    <s v="KPI"/>
    <s v="Tab1: YTD Return"/>
    <s v="Portfolio performance YTD"/>
    <s v="fact_performance household level"/>
    <s v="Done"/>
    <s v="-"/>
    <s v="-"/>
    <s v="Data Not Available"/>
    <x v="0"/>
    <s v="Category: Data Not Available. YTD Return - no performance data in Insigneo."/>
    <m/>
    <m/>
    <m/>
  </r>
  <r>
    <x v="1"/>
    <s v="Household Detail Pages (4 tabs)"/>
    <s v="KPI"/>
    <s v="Tab1: Accounts"/>
    <s v="Count of active accounts linked to household"/>
    <s v="COUNT dim_account (ACTIVE)"/>
    <s v="Done"/>
    <s v="KPI-007"/>
    <s v="SELECT COUNT(DISTINCT financial_account_id) AS account_count_x000a_FROM financial_account_x000a_WHERE is_active = 1 AND account_status_indicator = 'O'"/>
    <s v="Done"/>
    <x v="1"/>
    <s v="Category: Done. Accounts count updated in DB."/>
    <m/>
    <m/>
    <m/>
  </r>
  <r>
    <x v="1"/>
    <s v="Household Detail Pages (4 tabs)"/>
    <s v="Chart"/>
    <s v="Tab1: Asset Allocation Donut"/>
    <s v="Distribution across asset classes"/>
    <s v="fact_position.asset_class grouped"/>
    <s v="Done"/>
    <s v="CHART-018"/>
    <s v="-"/>
    <s v="Data Available/Calculation Required"/>
    <x v="2"/>
    <s v="Category: Data Available/Calculation Required. Asset Allocation Donut - derivable/calc required in DB."/>
    <s v="Yes"/>
    <m/>
    <m/>
  </r>
  <r>
    <x v="1"/>
    <s v="Household Detail Pages (4 tabs)"/>
    <s v="Table"/>
    <s v="Tab1: Account Summary Table"/>
    <s v="Cols: Account Name, Custodian, Registration, AUM, Model, Cash %, Status"/>
    <s v="dim_account + fact_position"/>
    <s v="Done"/>
    <s v="TABLE-ADV-ACCT-01"/>
    <s v="-"/>
    <s v="Data Not Available"/>
    <x v="0"/>
    <s v="Category: Data Not Available. Account Summary works for Custodian/Registration/Status; Account AUM, Cash Balance, Cash %, Model columns blocked."/>
    <m/>
    <m/>
    <m/>
  </r>
  <r>
    <x v="1"/>
    <s v="Household Detail Pages (4 tabs)"/>
    <s v="Table"/>
    <s v="Tab2: Position Table"/>
    <s v="Cols: Ticker, Security Name, Type, Asset Class, Shares, Price, Market Value, Cost Basis, Unrealized G/L, % of Account, Holding"/>
    <s v="fact_position + dim_security"/>
    <s v="Done"/>
    <s v="TABLE-ADV-PORT-03"/>
    <s v="-"/>
    <s v="Data Not Available"/>
    <x v="2"/>
    <s v="Category: Data Not Available. Position table works for Ticker/Name/Type/Shares/Price/MV; Cost Basis &amp; Unrealized G/L columns blocked."/>
    <m/>
    <m/>
    <m/>
  </r>
  <r>
    <x v="1"/>
    <s v="Household Detail Pages (4 tabs)"/>
    <s v="Section"/>
    <s v="Tab2: Account Card + Subtotal + Cash"/>
    <s v="Expandable account card, subtotal row, cash &amp; equivalents section"/>
    <s v="dim_account + fact_cash_balance"/>
    <s v="Done"/>
    <s v="-"/>
    <s v="-"/>
    <s v="Data Not Available"/>
    <x v="0"/>
    <s v="Category: Data Not Available. Account subtotals - cost-basis/unrealized subtotals need data not in Insigneo; MV &amp; cash available."/>
    <m/>
    <m/>
    <m/>
  </r>
  <r>
    <x v="1"/>
    <s v="Household Detail Pages (4 tabs)"/>
    <s v="Table"/>
    <s v="Tab3: Activity Table"/>
    <s v="Cols: Date, Account, Custodian, Type, Security, Qty, Price, Net Amount + Period/Custodian/Type filters"/>
    <s v="fact_transaction + dim_security"/>
    <s v="Done"/>
    <s v="-"/>
    <s v="-"/>
    <s v="Done"/>
    <x v="1"/>
    <s v="Category: Done. Activity (transactions) available - updated in DB."/>
    <m/>
    <m/>
    <m/>
  </r>
  <r>
    <x v="1"/>
    <s v="Household Detail Pages (4 tabs)"/>
    <s v="Section"/>
    <s v="Tab4: Tax Lot Summary"/>
    <s v="Unrealized G/L split by holding period (long/short)"/>
    <s v="fact_position holding_period"/>
    <s v="Done"/>
    <s v="CHART-015"/>
    <s v="-"/>
    <s v="Data Not Available"/>
    <x v="2"/>
    <s v="Category: Data Not Available. Tax Lot Summary - needs unrealized G/L, cost basis &amp; holding period, not in Insigneo."/>
    <m/>
    <d v="2026-07-13T00:00:00"/>
    <m/>
  </r>
  <r>
    <x v="1"/>
    <s v="Household Detail Pages (4 tabs)"/>
    <s v="Chart"/>
    <s v="Tab4: Custodian Distribution Chart"/>
    <s v="Share of portfolio value across custodians"/>
    <s v="fact_position grouped by source_custodian"/>
    <s v="Done"/>
    <s v="CHART-016"/>
    <s v="SELECT_x000a_  p.custodian                    AS custodian,_x000a_  SUM(p.market_value)                   AS aum_x000a_FROM positions p_x000a_JOIN household_details h ON p.financial_account_id = h.financial_account_id_x000a_WHERE h.id = :id_x000a_  AND p.snapshot_date = (SELECT MAX(sp.snapshot_date) FROM positions sp JOIN household_details sh ON sp.financial_account_id = sh.financial_account_id_x000a_ WHERE sh.id = :household_id)_x000a_GROUP BY p.custodian_x000a_ORDER BY aum DESC;"/>
    <s v="Done"/>
    <x v="1"/>
    <s v="Category: Done. Custodian Distribution donut; validate vs Insigneo (flagged 'Doubt')."/>
    <m/>
    <m/>
    <m/>
  </r>
  <r>
    <x v="1"/>
    <s v="Portfolio Analytics Dashboard"/>
    <s v="Filter/Control"/>
    <s v="Scope &amp; Compare Controls"/>
    <s v="Scope (Book/Team/Household/Model/Segment); Compare (Model Target / Prev vs Current Qtr / Benchmark S&amp;P500)"/>
    <s v="config + Yahoo Finance API"/>
    <s v="Done"/>
    <s v="-"/>
    <s v="-"/>
    <s v="-"/>
    <x v="3"/>
    <s v="Category: -. Scope/Compare control; benchmark via Yahoo API, model-target compare needs config."/>
    <m/>
    <m/>
    <m/>
  </r>
  <r>
    <x v="1"/>
    <s v="Portfolio Analytics Dashboard"/>
    <s v="Chart"/>
    <s v="Asset Allocation - Current vs Target (CHART-008)"/>
    <s v="Grouped bars current vs comparison + delta row; Gold asset_class enums"/>
    <s v="fact_position + model config"/>
    <s v="Done"/>
    <s v="CHART-008"/>
    <s v="SELECT_x000a_    s.asset_class AS category,_x000a_    ROUND(SUM(ABS(p.amount)) * 100.0 / SUM(SUM(ABS(p.amount))) OVER (), 1) AS current_pct_x000a_FROM positions p_x000a_JOIN securities s ON s.cusip = p.cusip_x000a_WHERE p.investment_professional_number = @investment_professional_number_x000a_  AND p.snapshot_date = (SELECT MAX(snapshot_date) FROM positions WHERE investment_professional_number = @investment_professional_number)_x000a_GROUP BY s.asset_class;"/>
    <s v="Done"/>
    <x v="1"/>
    <s v="Category: Done. Allocation Current vs Target; sub-asset-class classification to validate ('Doubt')."/>
    <m/>
    <m/>
    <m/>
  </r>
  <r>
    <x v="1"/>
    <s v="Portfolio Analytics Dashboard"/>
    <s v="Chart"/>
    <s v="Sector Exposure - Equity Only (CHART-009)"/>
    <s v="Horizontal bars, sector % of equity AUM, sorted desc"/>
    <s v="fact_position equity assets"/>
    <s v="Done"/>
    <s v="CHART-009"/>
    <s v="-"/>
    <s v="Data Not Available"/>
    <x v="0"/>
    <s v="Category: Data Not Available. Sector Exposure - security sector not in Insigneo."/>
    <m/>
    <m/>
    <m/>
  </r>
  <r>
    <x v="1"/>
    <s v="Portfolio Analytics Dashboard"/>
    <s v="Chart"/>
    <s v="Top 20 Holdings Concentration Map (CHART-010)"/>
    <s v="Top 20 by MV, % of book bar, &gt;10% red badge"/>
    <s v="SUM(market_value) by cusip"/>
    <s v="Done"/>
    <s v="CHART-010"/>
    <s v="WITH book_total AS (_x000a_  SELECT SUM(amount) AS total_mv_x000a_  FROM positions_x000a_  WHERE investment_professional_number = 'N04'_x000a_    AND snapshot_date = (SELECT MAX(snapshot_date) FROM positions WHERE investment_professional_number = 'N04')_x000a_),_x000a_rolled AS (_x000a_SELECT_x000a_    -- fp.cusip,_x000a_    -- ds.ticker,_x000a_    -- ds.asset_name,_x000a_    SUM(fp.amount)         AS market_value_x000a_    -- SUM(fp.unrealized_gain_loss) AS unrealized_gl_x000a_  FROM positions fp_x000a_  LEFT JOIN securities ds ON fp.cusip = ds.cusip_x000a_  WHERE fp.investment_professional_number = 'N04'_x000a_    AND fp.snapshot_date = (SELECT MAX(snapshot_date) FROM positions WHERE investment_professional_number = 'N04')_x000a_  GROUP BY fp.cusip, ds.ticker, ds.asset_name_x000a_)_x000a__x000a_SELECT_x000a_  ROW_NUMBER() OVER (ORDER BY r.market_value DESC) AS rank,_x000a_  r.cusip,_x000a_  r.ticker,_x000a_  r.asset_name,_x000a_  r.market_value,_x000a_  ROUND(r.market_value / bt.total_mv * 100, 1)    AS pct_of_book_x000a_  -- ROUND(r.unrealized_gl / NULLIF(r.market_value - r.unrealized_gl, 0) * 100, 1) AS unrealized_gl_pct_x000a_FROM rolled r, book_total bt_x000a_ORDER BY r.market_value DESC_x000a_LIMIT 20;"/>
    <s v="Data Not Available"/>
    <x v="5"/>
    <s v="Category: Data Not Available. Top 20 Concentration Map - query/logic fix needed (data available)."/>
    <m/>
    <m/>
    <m/>
  </r>
  <r>
    <x v="1"/>
    <s v="Portfolio Analytics Dashboard"/>
    <s v="Table"/>
    <s v="Performance Summary (CHART-011)"/>
    <s v="Total Return, Benchmark Return, Alpha across MTD/QTD/YTD/1Y; negative alpha red"/>
    <s v="fact_performance + Yahoo Finance"/>
    <s v="Done"/>
    <s v="CHART-011"/>
    <s v="-"/>
    <s v="Data Available/Calculation Required"/>
    <x v="0"/>
    <s v="Category: Data Available/Calculation Required. Performance Summary - calc/derivation required; confirm TWR/Alpha/Sharpe source with Aman."/>
    <m/>
    <m/>
    <m/>
  </r>
  <r>
    <x v="1"/>
    <s v="Portfolio Analytics Dashboard"/>
    <s v="KPI"/>
    <s v="Risk Card - Top 10 Concentration %"/>
    <s v="Combined exposure of top 10 holdings (threshold 40%)"/>
    <s v="AUM-weighted"/>
    <s v="Done"/>
    <s v="KPI-034"/>
    <s v="WITH ranked AS (_x000a_  SELECT p.cusip, p.amount,_x000a_    ROW_NUMBER() OVER (ORDER BY p.amount DESC) AS rn_x000a_  FROM positions p_x000a_  WHERE  p.snapshot_date BETWEEN DATEADD(DAY, 1 - DATEPART(WEEKDAY, '2026-01-01'), '2026-01-01')_x000a_          AND DATEADD(DAY, 7 - DATEPART(WEEKDAY, '2026-01-01'), '2026-01-01')_x000a_)_x000a_SELECT_x000a_  SUM(CASE WHEN rn &lt;= 10 THEN amount ELSE 0 END) /_x000a_  NULLIF(SUM(amount), 0) * 100 AS top10_pct_x000a_FROM ranked"/>
    <s v="Done"/>
    <x v="1"/>
    <s v="Category: Done. Top 10 Concentration updated in DB."/>
    <m/>
    <m/>
    <m/>
  </r>
  <r>
    <x v="1"/>
    <s v="Portfolio Analytics Dashboard"/>
    <s v="KPI"/>
    <s v="Risk Card - Single Position Max %"/>
    <s v="Largest single position exposure + security"/>
    <s v="highest % of book"/>
    <s v="Done"/>
    <s v="KPI-035"/>
    <s v="SELECT MAX(p.amount) / NULLIF(SUM(p.amount), 0) * 100 AS max_concentration, _x000a_       DATEADD(DAY, 1 - DATEPART(WEEKDAY,'2026-01-01'), '2026-01-01') AS start_date,_x000a_       DATEADD(DAY, 7 - DATEPART(WEEKDAY, '2026-01-01'), '2026-01-01') AS end_date_x000a_FROM positions p_x000a_WHERE CAST(p.snapshot_date AS DATE) BETWEEN DATEADD(DAY, 1 - DATEPART(WEEKDAY, '2026-01-01'), '2026-01-01')_x000a_          AND DATEADD(DAY, 7 - DATEPART(WEEKDAY, '2026-01-01'), '2026-01-01');"/>
    <s v="Done"/>
    <x v="1"/>
    <s v="Category: Done. Single Position Max updated in DB."/>
    <m/>
    <m/>
    <m/>
  </r>
  <r>
    <x v="1"/>
    <s v="Portfolio Analytics Dashboard"/>
    <s v="KPI"/>
    <s v="Risk Card - Cash Drag (bps)"/>
    <s v="Return impact of idle cash"/>
    <s v="cash_pct × 5% × 100"/>
    <s v="Done"/>
    <s v="KPI-014"/>
    <s v="-"/>
    <s v="(with new derived table)"/>
    <x v="2"/>
    <s v="Category: (with new derived table). Cash Drag via new derived table."/>
    <s v="Yes"/>
    <m/>
    <m/>
  </r>
  <r>
    <x v="1"/>
    <s v="Portfolio Analytics Dashboard"/>
    <s v="KPI"/>
    <s v="Risk Card - International Exposure %"/>
    <s v="International allocation % vs target range"/>
    <s v="intl_pct AUM-weighted"/>
    <s v="Done"/>
    <s v="KPI-037"/>
    <s v="-"/>
    <s v="Data Available/Calculation Required"/>
    <x v="0"/>
    <s v="Category: Data Available/Calculation Required. International Exposure - security country not in Insigneo."/>
    <m/>
    <m/>
    <m/>
  </r>
  <r>
    <x v="1"/>
    <s v="Portfolio Analytics Dashboard"/>
    <s v="Table"/>
    <s v="Top Holdings / Extended Holdings (1-20)"/>
    <s v="Rank, Ticker, Security, Market Value, % of portfolio, Unrealized G/L, status; concentration alerts"/>
    <s v="fact_position + dim_security"/>
    <s v="Done"/>
    <s v="TABLE-ADV-PORT-01"/>
    <s v="-"/>
    <s v="Data Not Available"/>
    <x v="0"/>
    <s v="Category: Data Not Available. Top Holdings - rank/%-of-book available; Market Value flagged &amp; Unrealized G/L $/% columns blocked."/>
    <m/>
    <m/>
    <m/>
  </r>
  <r>
    <x v="1"/>
    <s v="Market News &amp; Portfolio Intelligence (Placeholder)"/>
    <s v="Panel"/>
    <s v="Market News Placeholder"/>
    <s v="Static 'Coming Soon' market news container"/>
    <s v="Placeholder"/>
    <s v="Done"/>
    <s v="-"/>
    <s v="-"/>
    <s v="-"/>
    <x v="3"/>
    <s v="Category: -. Market News placeholder."/>
    <m/>
    <m/>
    <m/>
  </r>
  <r>
    <x v="1"/>
    <s v="Market News &amp; Portfolio Intelligence (Placeholder)"/>
    <s v="Panel"/>
    <s v="Portfolio Intelligence Panel Placeholder"/>
    <s v="Framework for future real-time signals / AI recs (Epic 26, Stage 2)"/>
    <s v="Placeholder (US 16011)"/>
    <s v="Done"/>
    <s v="-"/>
    <s v="-"/>
    <s v="-"/>
    <x v="3"/>
    <s v="Category: -. Portfolio Intelligence placeholder."/>
    <m/>
    <m/>
    <m/>
  </r>
  <r>
    <x v="1"/>
    <s v="Action Items &amp; Alerts Screen"/>
    <s v="KPI"/>
    <s v="Critical / Warnings / Opportunities / Informational counts"/>
    <s v="4 summary counters by insight severity (clickable filters)"/>
    <s v="Insights Portal framework"/>
    <s v="Ready for Testing"/>
    <s v="-"/>
    <s v="-"/>
    <s v="Data Available/Calculation Required"/>
    <x v="3"/>
    <s v="Category: Data Available/Calculation Required. Insight counts - Insights framework; drivable for available signals, risk/engagement-based counts blocked."/>
    <m/>
    <m/>
    <m/>
  </r>
  <r>
    <x v="1"/>
    <s v="Action Items &amp; Alerts Screen"/>
    <s v="Filter/Control"/>
    <s v="Category Tabs + Show Dismissed"/>
    <s v="All/Critical/Warnings/Opportunities/Informational tabs; show-dismissed toggle"/>
    <s v="UI controls"/>
    <s v="Ready for Testing"/>
    <s v="-"/>
    <s v="-"/>
    <s v="-"/>
    <x v="3"/>
    <s v="Category: -. Category tabs - UI control."/>
    <m/>
    <m/>
    <m/>
  </r>
  <r>
    <x v="1"/>
    <s v="Action Items &amp; Alerts Screen"/>
    <s v="Section"/>
    <s v="Insight Cards List"/>
    <s v="Each card: Severity, Title, Description (what+why), Key Data Points, Affected Entity, Recommendation, Timestamp + actions (View HH/Dismiss/Resolve)"/>
    <s v="Insights framework"/>
    <s v="Ready for Testing"/>
    <s v="-"/>
    <s v="-"/>
    <s v="Data Available/Calculation Required"/>
    <x v="3"/>
    <s v="Category: Data Available/Calculation Required. Insight cards - Insights framework build; content depends on signals (some blocked)."/>
    <m/>
    <m/>
    <m/>
  </r>
  <r>
    <x v="1"/>
    <s v="Priority Actions Panel (Framework)"/>
    <s v="Section"/>
    <s v="Workflow Queue Sections"/>
    <s v="High Priority / Upcoming / In Progress / Completed queues"/>
    <s v="Seeded + Stage-2 agent outputs"/>
    <s v="New"/>
    <s v="-"/>
    <s v="-"/>
    <s v="-"/>
    <x v="3"/>
    <s v="Category: -. Workflow queue - Stage-2 framework."/>
    <m/>
    <m/>
    <m/>
  </r>
  <r>
    <x v="1"/>
    <s v="Priority Actions Panel (Framework)"/>
    <s v="Section"/>
    <s v="Action Cards"/>
    <s v="Action title, priority, category, related client/HH, due date, source; interactions (open/complete/snooze)"/>
    <s v="Prioritization framework"/>
    <s v="New"/>
    <s v="-"/>
    <s v="-"/>
    <s v="-"/>
    <x v="3"/>
    <s v="Category: -. Action cards - Stage-2 framework.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B5D03-57AD-450A-8F7B-159EC8DB62C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D40" firstHeaderRow="1" firstDataRow="2" firstDataCol="1"/>
  <pivotFields count="15"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5"/>
        <item x="0"/>
        <item x="4"/>
        <item m="1" x="8"/>
        <item m="1" x="7"/>
        <item m="1" x="6"/>
        <item x="3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8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Group" fld="0" subtotal="count" baseField="0" baseItem="0"/>
  </dataFields>
  <formats count="30">
    <format dxfId="0">
      <pivotArea type="origin" dataOnly="0" labelOnly="1" outline="0" fieldPosition="0"/>
    </format>
    <format dxfId="1">
      <pivotArea field="0" type="button" dataOnly="0" labelOnly="1" outline="0" axis="axisCol" fieldPosition="0"/>
    </format>
    <format dxfId="2">
      <pivotArea type="topRight" dataOnly="0" labelOnly="1" outline="0" fieldPosition="0"/>
    </format>
    <format dxfId="3">
      <pivotArea field="1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5">
      <pivotArea dataOnly="0" labelOnly="1" grandCol="1" outline="0" fieldPosition="0"/>
    </format>
    <format dxfId="6">
      <pivotArea type="origin" dataOnly="0" labelOnly="1" outline="0" fieldPosition="0"/>
    </format>
    <format dxfId="7">
      <pivotArea field="0" type="button" dataOnly="0" labelOnly="1" outline="0" axis="axisCol" fieldPosition="0"/>
    </format>
    <format dxfId="8">
      <pivotArea type="topRight" dataOnly="0" labelOnly="1" outline="0" fieldPosition="0"/>
    </format>
    <format dxfId="9">
      <pivotArea field="1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11">
      <pivotArea dataOnly="0" labelOnly="1" grandCol="1" outline="0" fieldPosition="0"/>
    </format>
    <format dxfId="12">
      <pivotArea type="origin" dataOnly="0" labelOnly="1" outline="0" fieldPosition="0"/>
    </format>
    <format dxfId="13">
      <pivotArea field="0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1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7">
      <pivotArea dataOnly="0" labelOnly="1" grandCol="1" outline="0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0" type="button" dataOnly="0" labelOnly="1" outline="0" axis="axisCol" fieldPosition="0"/>
    </format>
    <format dxfId="22">
      <pivotArea type="topRight" dataOnly="0" labelOnly="1" outline="0" fieldPosition="0"/>
    </format>
    <format dxfId="23">
      <pivotArea field="10" type="button" dataOnly="0" labelOnly="1" outline="0" axis="axisRow" fieldPosition="0"/>
    </format>
    <format dxfId="24">
      <pivotArea dataOnly="0" labelOnly="1" fieldPosition="0">
        <references count="1">
          <reference field="10" count="0"/>
        </references>
      </pivotArea>
    </format>
    <format dxfId="25">
      <pivotArea dataOnly="0" labelOnly="1" grandRow="1" outline="0" fieldPosition="0"/>
    </format>
    <format dxfId="26">
      <pivotArea dataOnly="0" labelOnly="1" fieldPosition="0">
        <references count="1">
          <reference field="0" count="0"/>
        </references>
      </pivotArea>
    </format>
    <format dxfId="27">
      <pivotArea dataOnly="0" labelOnly="1" grandCol="1" outline="0" fieldPosition="0"/>
    </format>
    <format dxfId="28">
      <pivotArea collapsedLevelsAreSubtotals="1" fieldPosition="0">
        <references count="1">
          <reference field="10" count="1">
            <x v="3"/>
          </reference>
        </references>
      </pivotArea>
    </format>
    <format dxfId="29">
      <pivotArea dataOnly="0" labelOnly="1" fieldPosition="0">
        <references count="1">
          <reference field="1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topLeftCell="A26" zoomScale="175" zoomScaleNormal="175" workbookViewId="0">
      <selection activeCell="D39" sqref="A39:D39"/>
    </sheetView>
  </sheetViews>
  <sheetFormatPr defaultColWidth="8.7109375" defaultRowHeight="14.45"/>
  <cols>
    <col min="1" max="1" width="20.5703125" bestFit="1" customWidth="1"/>
    <col min="2" max="2" width="16.28515625" bestFit="1" customWidth="1"/>
    <col min="3" max="3" width="10.7109375" bestFit="1" customWidth="1"/>
    <col min="4" max="4" width="11.28515625" bestFit="1" customWidth="1"/>
    <col min="5" max="5" width="10" customWidth="1"/>
    <col min="6" max="6" width="18" customWidth="1"/>
  </cols>
  <sheetData>
    <row r="1" spans="1:6" ht="19.7" customHeight="1">
      <c r="A1" s="72" t="s">
        <v>0</v>
      </c>
      <c r="B1" s="72"/>
      <c r="C1" s="72"/>
      <c r="D1" s="72"/>
      <c r="E1" s="72"/>
      <c r="F1" s="72"/>
    </row>
    <row r="2" spans="1:6" ht="15" customHeight="1">
      <c r="A2" s="73" t="s">
        <v>1</v>
      </c>
      <c r="B2" s="73"/>
      <c r="C2" s="73"/>
      <c r="D2" s="73"/>
      <c r="E2" s="73"/>
      <c r="F2" s="73"/>
    </row>
    <row r="4" spans="1:6" ht="31.15">
      <c r="A4" s="1" t="s">
        <v>2</v>
      </c>
    </row>
    <row r="5" spans="1:6" ht="39.6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>
      <c r="A6" s="4" t="s">
        <v>9</v>
      </c>
      <c r="B6" s="5">
        <f>COUNTIF('Dashboard Inventory'!$B$2:$B$11,"Leadership")</f>
        <v>3</v>
      </c>
      <c r="C6" s="5">
        <f>SUMIF('Dashboard Inventory'!$B$2:$B$11,"Leadership",'Dashboard Inventory'!$G$2:$G$11)</f>
        <v>13</v>
      </c>
      <c r="D6" s="5">
        <f>SUMIF('Dashboard Inventory'!$B$2:$B$11,"Leadership",'Dashboard Inventory'!$H$2:$H$11)</f>
        <v>8</v>
      </c>
      <c r="E6" s="5">
        <f>SUMIF('Dashboard Inventory'!$B$2:$B$11,"Leadership",'Dashboard Inventory'!$I$2:$I$11)</f>
        <v>4</v>
      </c>
      <c r="F6" s="6">
        <f>SUMIF('Dashboard Inventory'!$B$2:$B$11,"Leadership",'Dashboard Inventory'!$L$2:$L$11)</f>
        <v>29</v>
      </c>
    </row>
    <row r="7" spans="1:6">
      <c r="A7" s="7" t="s">
        <v>10</v>
      </c>
      <c r="B7" s="5">
        <f>COUNTIF('Dashboard Inventory'!$B$2:$B$11,"Advisor")</f>
        <v>7</v>
      </c>
      <c r="C7" s="5">
        <f>SUMIF('Dashboard Inventory'!$B$2:$B$11,"Advisor",'Dashboard Inventory'!$G$2:$G$11)</f>
        <v>20</v>
      </c>
      <c r="D7" s="5">
        <f>SUMIF('Dashboard Inventory'!$B$2:$B$11,"Advisor",'Dashboard Inventory'!$H$2:$H$11)</f>
        <v>10</v>
      </c>
      <c r="E7" s="5">
        <f>SUMIF('Dashboard Inventory'!$B$2:$B$11,"Advisor",'Dashboard Inventory'!$I$2:$I$11)</f>
        <v>7</v>
      </c>
      <c r="F7" s="6">
        <f>SUMIF('Dashboard Inventory'!$B$2:$B$11,"Advisor",'Dashboard Inventory'!$L$2:$L$11)</f>
        <v>56</v>
      </c>
    </row>
    <row r="8" spans="1:6">
      <c r="A8" s="8" t="s">
        <v>11</v>
      </c>
      <c r="B8" s="9">
        <f>SUM(B6:B7)</f>
        <v>10</v>
      </c>
      <c r="C8" s="9">
        <f>SUM(C6:C7)</f>
        <v>33</v>
      </c>
      <c r="D8" s="9">
        <f>SUM(D6:D7)</f>
        <v>18</v>
      </c>
      <c r="E8" s="9">
        <f>SUM(E6:E7)</f>
        <v>11</v>
      </c>
      <c r="F8" s="9">
        <f>SUM(F6:F7)</f>
        <v>85</v>
      </c>
    </row>
    <row r="10" spans="1:6" ht="31.15">
      <c r="A10" s="1" t="s">
        <v>12</v>
      </c>
    </row>
    <row r="11" spans="1:6" ht="15" customHeight="1">
      <c r="A11" s="69" t="s">
        <v>13</v>
      </c>
      <c r="B11" s="69"/>
      <c r="C11" s="69"/>
      <c r="D11" s="69"/>
      <c r="E11" s="69"/>
      <c r="F11" s="69"/>
    </row>
    <row r="12" spans="1:6" ht="15" customHeight="1">
      <c r="A12" s="69" t="s">
        <v>14</v>
      </c>
      <c r="B12" s="69"/>
      <c r="C12" s="69"/>
      <c r="D12" s="69"/>
      <c r="E12" s="69"/>
      <c r="F12" s="69"/>
    </row>
    <row r="13" spans="1:6" ht="15" customHeight="1">
      <c r="A13" s="69" t="s">
        <v>15</v>
      </c>
      <c r="B13" s="69"/>
      <c r="C13" s="69"/>
      <c r="D13" s="69"/>
      <c r="E13" s="69"/>
      <c r="F13" s="69"/>
    </row>
    <row r="14" spans="1:6" ht="15" customHeight="1">
      <c r="A14" s="69" t="s">
        <v>16</v>
      </c>
      <c r="B14" s="69"/>
      <c r="C14" s="69"/>
      <c r="D14" s="69"/>
      <c r="E14" s="69"/>
      <c r="F14" s="69"/>
    </row>
    <row r="15" spans="1:6" ht="15" customHeight="1">
      <c r="A15" s="69" t="s">
        <v>17</v>
      </c>
      <c r="B15" s="69"/>
      <c r="C15" s="69"/>
      <c r="D15" s="69"/>
      <c r="E15" s="69"/>
      <c r="F15" s="69"/>
    </row>
    <row r="18" spans="1:6" ht="15" customHeight="1">
      <c r="A18" s="70" t="s">
        <v>18</v>
      </c>
      <c r="B18" s="70"/>
      <c r="C18" s="70"/>
      <c r="D18" s="70"/>
      <c r="E18" s="70"/>
      <c r="F18" s="70"/>
    </row>
    <row r="19" spans="1:6" ht="15" customHeight="1">
      <c r="A19" s="71" t="s">
        <v>19</v>
      </c>
      <c r="B19" s="71"/>
      <c r="C19" s="71"/>
      <c r="D19" s="71"/>
      <c r="E19" s="71"/>
      <c r="F19" s="71"/>
    </row>
    <row r="20" spans="1:6">
      <c r="A20" s="71"/>
      <c r="B20" s="71"/>
      <c r="C20" s="71"/>
      <c r="D20" s="71"/>
      <c r="E20" s="71"/>
      <c r="F20" s="71"/>
    </row>
    <row r="21" spans="1:6">
      <c r="A21" s="71"/>
      <c r="B21" s="71"/>
      <c r="C21" s="71"/>
      <c r="D21" s="71"/>
      <c r="E21" s="71"/>
      <c r="F21" s="71"/>
    </row>
    <row r="23" spans="1:6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24</v>
      </c>
    </row>
    <row r="24" spans="1:6" ht="39.6">
      <c r="A24" s="10" t="s">
        <v>25</v>
      </c>
      <c r="B24" s="2" t="s">
        <v>26</v>
      </c>
      <c r="C24" s="5">
        <f>COUNTIFS('Component Detail'!$A:$A,"Leadership",'Component Detail'!$L:$L,"1 - Done")</f>
        <v>13</v>
      </c>
      <c r="D24" s="5">
        <f>COUNTIFS('Component Detail'!$A:$A,"Advisor",'Component Detail'!$L:$L,"1 - Done")</f>
        <v>12</v>
      </c>
      <c r="E24" s="6">
        <f>C24+D24</f>
        <v>25</v>
      </c>
    </row>
    <row r="25" spans="1:6" ht="39.6">
      <c r="A25" s="11" t="s">
        <v>27</v>
      </c>
      <c r="B25" s="2" t="s">
        <v>28</v>
      </c>
      <c r="C25" s="5">
        <f>COUNTIFS('Component Detail'!$A:$A,"Leadership",'Component Detail'!$L:$L,"2 - Logic can be driven")</f>
        <v>0</v>
      </c>
      <c r="D25" s="5">
        <f>COUNTIFS('Component Detail'!$A:$A,"Advisor",'Component Detail'!$L:$L,"2 - Logic can be driven")</f>
        <v>1</v>
      </c>
      <c r="E25" s="6">
        <f>C25+D25</f>
        <v>1</v>
      </c>
    </row>
    <row r="26" spans="1:6" ht="26.45">
      <c r="A26" s="12" t="s">
        <v>29</v>
      </c>
      <c r="B26" s="2" t="s">
        <v>30</v>
      </c>
      <c r="C26" s="5">
        <f>COUNTIFS('Component Detail'!$A:$A,"Leadership",'Component Detail'!$L:$L,"3 - Can't be achieved")</f>
        <v>0</v>
      </c>
      <c r="D26" s="5">
        <f>COUNTIFS('Component Detail'!$A:$A,"Advisor",'Component Detail'!$L:$L,"3 - Can't be achieved")</f>
        <v>0</v>
      </c>
      <c r="E26" s="6">
        <f>C26+D26</f>
        <v>0</v>
      </c>
    </row>
    <row r="27" spans="1:6" ht="39.6">
      <c r="A27" s="13" t="s">
        <v>31</v>
      </c>
      <c r="B27" s="2" t="s">
        <v>32</v>
      </c>
      <c r="C27" s="5">
        <f>COUNTIFS('Component Detail'!$A:$A,"Leadership",'Component Detail'!$L:$L,"N/A - UI/placeholder")</f>
        <v>0</v>
      </c>
      <c r="D27" s="5">
        <f>COUNTIFS('Component Detail'!$A:$A,"Advisor",'Component Detail'!$L:$L,"N/A - UI/placeholder")</f>
        <v>0</v>
      </c>
      <c r="E27" s="6">
        <f>C27+D27</f>
        <v>0</v>
      </c>
    </row>
    <row r="28" spans="1:6">
      <c r="A28" s="8" t="s">
        <v>11</v>
      </c>
      <c r="B28" s="14"/>
      <c r="C28" s="9">
        <f>SUM(C24:C27)</f>
        <v>13</v>
      </c>
      <c r="D28" s="9">
        <f>SUM(D24:D27)</f>
        <v>13</v>
      </c>
      <c r="E28" s="9">
        <f>SUM(E24:E27)</f>
        <v>26</v>
      </c>
    </row>
    <row r="32" spans="1:6">
      <c r="A32" s="40" t="s">
        <v>33</v>
      </c>
      <c r="B32" s="40" t="s">
        <v>34</v>
      </c>
      <c r="C32" s="40"/>
      <c r="D32" s="40"/>
    </row>
    <row r="33" spans="1:7">
      <c r="A33" s="40" t="s">
        <v>35</v>
      </c>
      <c r="B33" s="40" t="s">
        <v>23</v>
      </c>
      <c r="C33" s="40" t="s">
        <v>22</v>
      </c>
      <c r="D33" s="40" t="s">
        <v>36</v>
      </c>
      <c r="E33" s="45"/>
      <c r="F33" s="45"/>
      <c r="G33" s="45"/>
    </row>
    <row r="34" spans="1:7">
      <c r="A34" s="41" t="s">
        <v>25</v>
      </c>
      <c r="B34" s="42">
        <v>12</v>
      </c>
      <c r="C34" s="42">
        <v>13</v>
      </c>
      <c r="D34" s="42">
        <v>25</v>
      </c>
      <c r="E34" s="45"/>
      <c r="F34" s="45"/>
      <c r="G34" s="45"/>
    </row>
    <row r="35" spans="1:7">
      <c r="A35" s="41" t="s">
        <v>37</v>
      </c>
      <c r="B35" s="42">
        <v>9</v>
      </c>
      <c r="C35" s="42">
        <v>1</v>
      </c>
      <c r="D35" s="42">
        <v>10</v>
      </c>
      <c r="E35" s="46">
        <v>46216</v>
      </c>
      <c r="F35" s="45"/>
      <c r="G35" s="45"/>
    </row>
    <row r="36" spans="1:7">
      <c r="A36" s="41" t="s">
        <v>27</v>
      </c>
      <c r="B36" s="42">
        <v>1</v>
      </c>
      <c r="C36" s="42"/>
      <c r="D36" s="42">
        <v>1</v>
      </c>
      <c r="E36" s="45"/>
      <c r="F36" s="45"/>
      <c r="G36" s="45"/>
    </row>
    <row r="37" spans="1:7">
      <c r="A37" s="43" t="s">
        <v>38</v>
      </c>
      <c r="B37" s="44">
        <v>15</v>
      </c>
      <c r="C37" s="44">
        <v>12</v>
      </c>
      <c r="D37" s="44">
        <v>27</v>
      </c>
      <c r="E37" s="46">
        <v>46225</v>
      </c>
      <c r="F37" s="46">
        <v>46220</v>
      </c>
      <c r="G37" s="45"/>
    </row>
    <row r="38" spans="1:7">
      <c r="A38" s="41" t="s">
        <v>39</v>
      </c>
      <c r="B38" s="42"/>
      <c r="C38" s="42">
        <v>1</v>
      </c>
      <c r="D38" s="42">
        <v>1</v>
      </c>
      <c r="E38" s="45"/>
      <c r="F38" s="45"/>
      <c r="G38" s="45"/>
    </row>
    <row r="39" spans="1:7">
      <c r="A39" s="41" t="s">
        <v>40</v>
      </c>
      <c r="B39" s="42">
        <v>13</v>
      </c>
      <c r="C39" s="42">
        <v>1</v>
      </c>
      <c r="D39" s="42">
        <v>14</v>
      </c>
    </row>
    <row r="40" spans="1:7">
      <c r="A40" s="41" t="s">
        <v>36</v>
      </c>
      <c r="B40" s="42">
        <v>50</v>
      </c>
      <c r="C40" s="42">
        <v>28</v>
      </c>
      <c r="D40" s="42">
        <v>78</v>
      </c>
    </row>
  </sheetData>
  <mergeCells count="9">
    <mergeCell ref="A14:F14"/>
    <mergeCell ref="A15:F15"/>
    <mergeCell ref="A18:F18"/>
    <mergeCell ref="A19:F21"/>
    <mergeCell ref="A1:F1"/>
    <mergeCell ref="A2:F2"/>
    <mergeCell ref="A11:F11"/>
    <mergeCell ref="A12:F12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87"/>
  <sheetViews>
    <sheetView tabSelected="1" topLeftCell="C1" zoomScale="90" zoomScaleNormal="90" workbookViewId="0">
      <pane ySplit="1" topLeftCell="A33" activePane="bottomLeft" state="frozen"/>
      <selection pane="bottomLeft" activeCell="J33" sqref="J33"/>
    </sheetView>
  </sheetViews>
  <sheetFormatPr defaultColWidth="8.7109375" defaultRowHeight="14.45"/>
  <cols>
    <col min="1" max="1" width="12" customWidth="1"/>
    <col min="2" max="2" width="42.28515625" bestFit="1" customWidth="1"/>
    <col min="3" max="3" width="6.7109375" customWidth="1"/>
    <col min="4" max="4" width="30.140625" customWidth="1"/>
    <col min="5" max="5" width="30.7109375" customWidth="1"/>
    <col min="6" max="6" width="25.28515625" customWidth="1"/>
    <col min="7" max="7" width="11.140625" bestFit="1" customWidth="1"/>
    <col min="8" max="8" width="27" bestFit="1" customWidth="1"/>
    <col min="9" max="9" width="18.5703125" customWidth="1"/>
    <col min="10" max="10" width="46" customWidth="1"/>
    <col min="11" max="11" width="16.42578125" customWidth="1"/>
    <col min="12" max="12" width="22" customWidth="1"/>
    <col min="13" max="13" width="26.5703125" customWidth="1"/>
  </cols>
  <sheetData>
    <row r="1" spans="1:17">
      <c r="A1" s="26" t="s">
        <v>3</v>
      </c>
      <c r="B1" s="26" t="s">
        <v>41</v>
      </c>
      <c r="C1" s="26" t="s">
        <v>42</v>
      </c>
      <c r="D1" s="26" t="s">
        <v>43</v>
      </c>
      <c r="E1" s="26" t="s">
        <v>44</v>
      </c>
      <c r="F1" s="26" t="s">
        <v>45</v>
      </c>
      <c r="G1" s="26" t="s">
        <v>46</v>
      </c>
      <c r="H1" s="26" t="s">
        <v>47</v>
      </c>
      <c r="I1" s="26" t="s">
        <v>48</v>
      </c>
      <c r="J1" s="26" t="s">
        <v>49</v>
      </c>
      <c r="K1" s="26" t="s">
        <v>50</v>
      </c>
      <c r="L1" s="26" t="s">
        <v>51</v>
      </c>
      <c r="M1" s="26" t="s">
        <v>52</v>
      </c>
      <c r="N1" s="35" t="s">
        <v>46</v>
      </c>
      <c r="O1" s="35" t="s">
        <v>53</v>
      </c>
      <c r="P1" s="35" t="s">
        <v>54</v>
      </c>
    </row>
    <row r="2" spans="1:17" ht="39.6" hidden="1">
      <c r="A2" s="4" t="s">
        <v>22</v>
      </c>
      <c r="B2" s="56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16" t="s">
        <v>62</v>
      </c>
      <c r="J2" s="27" t="s">
        <v>63</v>
      </c>
      <c r="K2" s="2" t="s">
        <v>60</v>
      </c>
      <c r="L2" s="61" t="s">
        <v>64</v>
      </c>
      <c r="M2" s="2" t="s">
        <v>65</v>
      </c>
      <c r="N2" t="s">
        <v>66</v>
      </c>
      <c r="O2" s="28">
        <v>46225</v>
      </c>
      <c r="Q2" t="s">
        <v>67</v>
      </c>
    </row>
    <row r="3" spans="1:17" ht="26.45" hidden="1">
      <c r="A3" s="4" t="s">
        <v>22</v>
      </c>
      <c r="B3" s="2" t="s">
        <v>55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60</v>
      </c>
      <c r="H3" s="2"/>
      <c r="I3" s="16" t="s">
        <v>72</v>
      </c>
      <c r="J3" s="27" t="s">
        <v>73</v>
      </c>
      <c r="K3" s="2" t="s">
        <v>60</v>
      </c>
      <c r="L3" s="10" t="s">
        <v>25</v>
      </c>
      <c r="M3" s="2" t="s">
        <v>74</v>
      </c>
      <c r="N3" t="s">
        <v>75</v>
      </c>
    </row>
    <row r="4" spans="1:17" ht="26.45" hidden="1">
      <c r="A4" s="4" t="s">
        <v>22</v>
      </c>
      <c r="B4" s="2" t="s">
        <v>55</v>
      </c>
      <c r="C4" s="2" t="s">
        <v>68</v>
      </c>
      <c r="D4" s="2" t="s">
        <v>76</v>
      </c>
      <c r="E4" s="2" t="s">
        <v>77</v>
      </c>
      <c r="F4" s="2" t="s">
        <v>78</v>
      </c>
      <c r="G4" s="2" t="s">
        <v>60</v>
      </c>
      <c r="H4" s="2"/>
      <c r="I4" s="16" t="s">
        <v>79</v>
      </c>
      <c r="J4" s="67" t="s">
        <v>80</v>
      </c>
      <c r="K4" s="2" t="s">
        <v>60</v>
      </c>
      <c r="L4" s="10" t="s">
        <v>25</v>
      </c>
      <c r="M4" s="2" t="s">
        <v>81</v>
      </c>
      <c r="N4" t="s">
        <v>75</v>
      </c>
    </row>
    <row r="5" spans="1:17" hidden="1">
      <c r="A5" s="36" t="s">
        <v>22</v>
      </c>
      <c r="B5" s="54" t="s">
        <v>82</v>
      </c>
      <c r="C5" s="37" t="s">
        <v>56</v>
      </c>
      <c r="D5" s="37" t="s">
        <v>83</v>
      </c>
      <c r="E5" s="37" t="s">
        <v>84</v>
      </c>
      <c r="F5" s="37" t="s">
        <v>85</v>
      </c>
      <c r="G5" s="37" t="s">
        <v>86</v>
      </c>
      <c r="H5" s="55" t="s">
        <v>87</v>
      </c>
      <c r="I5" s="38" t="s">
        <v>88</v>
      </c>
      <c r="J5" s="27" t="s">
        <v>88</v>
      </c>
      <c r="K5" s="37" t="s">
        <v>89</v>
      </c>
      <c r="L5" s="60" t="s">
        <v>90</v>
      </c>
      <c r="M5" s="37" t="s">
        <v>91</v>
      </c>
      <c r="P5" t="s">
        <v>92</v>
      </c>
    </row>
    <row r="6" spans="1:17" ht="39.6" hidden="1">
      <c r="A6" s="4" t="s">
        <v>22</v>
      </c>
      <c r="B6" s="2" t="s">
        <v>55</v>
      </c>
      <c r="C6" s="2" t="s">
        <v>68</v>
      </c>
      <c r="D6" s="2" t="s">
        <v>93</v>
      </c>
      <c r="E6" s="2" t="s">
        <v>94</v>
      </c>
      <c r="F6" s="2" t="s">
        <v>95</v>
      </c>
      <c r="G6" s="2" t="s">
        <v>60</v>
      </c>
      <c r="H6" s="2"/>
      <c r="I6" s="16" t="s">
        <v>96</v>
      </c>
      <c r="J6" s="67" t="s">
        <v>97</v>
      </c>
      <c r="K6" s="2" t="s">
        <v>60</v>
      </c>
      <c r="L6" s="10" t="s">
        <v>25</v>
      </c>
      <c r="M6" s="2" t="s">
        <v>98</v>
      </c>
      <c r="N6" t="s">
        <v>75</v>
      </c>
    </row>
    <row r="7" spans="1:17" hidden="1">
      <c r="A7" s="36" t="s">
        <v>22</v>
      </c>
      <c r="B7" s="37" t="s">
        <v>55</v>
      </c>
      <c r="C7" s="37" t="s">
        <v>56</v>
      </c>
      <c r="D7" s="37" t="s">
        <v>99</v>
      </c>
      <c r="E7" s="37" t="s">
        <v>100</v>
      </c>
      <c r="F7" s="37" t="s">
        <v>101</v>
      </c>
      <c r="G7" s="2" t="s">
        <v>60</v>
      </c>
      <c r="H7" s="2"/>
      <c r="I7" s="38" t="s">
        <v>102</v>
      </c>
      <c r="J7" s="27" t="s">
        <v>103</v>
      </c>
      <c r="K7" s="37" t="s">
        <v>60</v>
      </c>
      <c r="L7" s="52" t="s">
        <v>25</v>
      </c>
      <c r="M7" s="37" t="s">
        <v>104</v>
      </c>
      <c r="N7" t="s">
        <v>75</v>
      </c>
    </row>
    <row r="8" spans="1:17" hidden="1">
      <c r="A8" s="36" t="s">
        <v>22</v>
      </c>
      <c r="B8" s="54" t="s">
        <v>82</v>
      </c>
      <c r="C8" s="37" t="s">
        <v>56</v>
      </c>
      <c r="D8" s="37" t="s">
        <v>105</v>
      </c>
      <c r="E8" s="37" t="s">
        <v>106</v>
      </c>
      <c r="F8" s="37" t="s">
        <v>107</v>
      </c>
      <c r="G8" s="37" t="s">
        <v>86</v>
      </c>
      <c r="H8" s="55" t="s">
        <v>108</v>
      </c>
      <c r="I8" s="38" t="s">
        <v>109</v>
      </c>
      <c r="J8" s="27" t="s">
        <v>88</v>
      </c>
      <c r="K8" s="37" t="s">
        <v>89</v>
      </c>
      <c r="L8" s="60" t="s">
        <v>90</v>
      </c>
      <c r="M8" s="37" t="s">
        <v>110</v>
      </c>
      <c r="P8" t="s">
        <v>111</v>
      </c>
    </row>
    <row r="9" spans="1:17" ht="26.45" hidden="1">
      <c r="A9" s="4" t="s">
        <v>22</v>
      </c>
      <c r="B9" s="2" t="s">
        <v>55</v>
      </c>
      <c r="C9" s="2" t="s">
        <v>56</v>
      </c>
      <c r="D9" s="29" t="s">
        <v>112</v>
      </c>
      <c r="E9" s="29" t="s">
        <v>113</v>
      </c>
      <c r="F9" s="29" t="s">
        <v>114</v>
      </c>
      <c r="G9" s="29" t="s">
        <v>60</v>
      </c>
      <c r="H9" s="29"/>
      <c r="I9" s="30" t="s">
        <v>96</v>
      </c>
      <c r="J9" s="31" t="s">
        <v>88</v>
      </c>
      <c r="K9" s="29" t="s">
        <v>60</v>
      </c>
      <c r="L9" s="10" t="s">
        <v>25</v>
      </c>
      <c r="M9" s="2" t="s">
        <v>115</v>
      </c>
      <c r="N9" t="s">
        <v>75</v>
      </c>
      <c r="P9" t="s">
        <v>116</v>
      </c>
    </row>
    <row r="10" spans="1:17">
      <c r="A10" s="39" t="s">
        <v>23</v>
      </c>
      <c r="B10" s="53" t="s">
        <v>117</v>
      </c>
      <c r="C10" s="37" t="s">
        <v>56</v>
      </c>
      <c r="D10" s="37" t="s">
        <v>118</v>
      </c>
      <c r="E10" s="37" t="s">
        <v>119</v>
      </c>
      <c r="F10" s="37" t="s">
        <v>120</v>
      </c>
      <c r="G10" s="37" t="s">
        <v>60</v>
      </c>
      <c r="H10" s="27" t="s">
        <v>121</v>
      </c>
      <c r="I10" s="38" t="s">
        <v>122</v>
      </c>
      <c r="J10" s="67" t="s">
        <v>123</v>
      </c>
      <c r="K10" s="37" t="s">
        <v>89</v>
      </c>
      <c r="L10" s="61" t="s">
        <v>64</v>
      </c>
      <c r="M10" s="37" t="s">
        <v>124</v>
      </c>
    </row>
    <row r="11" spans="1:17" hidden="1">
      <c r="A11" s="36" t="s">
        <v>22</v>
      </c>
      <c r="B11" s="37" t="s">
        <v>55</v>
      </c>
      <c r="C11" s="37" t="s">
        <v>125</v>
      </c>
      <c r="D11" s="37" t="s">
        <v>126</v>
      </c>
      <c r="E11" s="37" t="s">
        <v>127</v>
      </c>
      <c r="F11" s="37" t="s">
        <v>128</v>
      </c>
      <c r="G11" s="2" t="s">
        <v>60</v>
      </c>
      <c r="H11" s="2"/>
      <c r="I11" s="38" t="s">
        <v>129</v>
      </c>
      <c r="J11" s="27" t="s">
        <v>130</v>
      </c>
      <c r="K11" s="37" t="s">
        <v>60</v>
      </c>
      <c r="L11" s="52" t="s">
        <v>25</v>
      </c>
      <c r="M11" s="37" t="s">
        <v>131</v>
      </c>
    </row>
    <row r="12" spans="1:17" hidden="1">
      <c r="A12" s="36" t="s">
        <v>22</v>
      </c>
      <c r="B12" s="37" t="s">
        <v>55</v>
      </c>
      <c r="C12" s="37" t="s">
        <v>125</v>
      </c>
      <c r="D12" s="37" t="s">
        <v>132</v>
      </c>
      <c r="E12" s="37" t="s">
        <v>133</v>
      </c>
      <c r="F12" s="37" t="s">
        <v>128</v>
      </c>
      <c r="G12" s="2" t="s">
        <v>60</v>
      </c>
      <c r="H12" s="2"/>
      <c r="I12" s="38" t="s">
        <v>134</v>
      </c>
      <c r="J12" s="67" t="s">
        <v>135</v>
      </c>
      <c r="K12" s="37" t="s">
        <v>60</v>
      </c>
      <c r="L12" s="52" t="s">
        <v>25</v>
      </c>
      <c r="M12" s="37" t="s">
        <v>136</v>
      </c>
    </row>
    <row r="13" spans="1:17" ht="26.45" hidden="1">
      <c r="A13" s="4" t="s">
        <v>22</v>
      </c>
      <c r="B13" s="2" t="s">
        <v>82</v>
      </c>
      <c r="C13" s="2" t="s">
        <v>68</v>
      </c>
      <c r="D13" s="2" t="s">
        <v>137</v>
      </c>
      <c r="E13" s="2" t="s">
        <v>138</v>
      </c>
      <c r="F13" s="2" t="s">
        <v>139</v>
      </c>
      <c r="G13" s="2" t="s">
        <v>60</v>
      </c>
      <c r="H13" s="2"/>
      <c r="I13" s="16" t="s">
        <v>140</v>
      </c>
      <c r="J13" s="67" t="s">
        <v>141</v>
      </c>
      <c r="K13" s="2" t="s">
        <v>60</v>
      </c>
      <c r="L13" s="10" t="s">
        <v>25</v>
      </c>
      <c r="M13" s="2" t="s">
        <v>142</v>
      </c>
    </row>
    <row r="14" spans="1:17" ht="26.45" hidden="1">
      <c r="A14" s="4" t="s">
        <v>22</v>
      </c>
      <c r="B14" s="2" t="s">
        <v>82</v>
      </c>
      <c r="C14" s="2" t="s">
        <v>68</v>
      </c>
      <c r="D14" s="2" t="s">
        <v>143</v>
      </c>
      <c r="E14" s="2" t="s">
        <v>144</v>
      </c>
      <c r="F14" s="2" t="s">
        <v>145</v>
      </c>
      <c r="G14" s="2" t="s">
        <v>60</v>
      </c>
      <c r="H14" s="2"/>
      <c r="I14" s="16" t="s">
        <v>146</v>
      </c>
      <c r="J14" s="67" t="s">
        <v>147</v>
      </c>
      <c r="K14" s="2" t="s">
        <v>60</v>
      </c>
      <c r="L14" s="10" t="s">
        <v>25</v>
      </c>
      <c r="M14" s="2" t="s">
        <v>148</v>
      </c>
    </row>
    <row r="15" spans="1:17" ht="26.45" hidden="1">
      <c r="A15" s="4" t="s">
        <v>22</v>
      </c>
      <c r="B15" s="2" t="s">
        <v>82</v>
      </c>
      <c r="C15" s="2" t="s">
        <v>68</v>
      </c>
      <c r="D15" s="2" t="s">
        <v>149</v>
      </c>
      <c r="E15" s="2" t="s">
        <v>150</v>
      </c>
      <c r="F15" s="2" t="s">
        <v>151</v>
      </c>
      <c r="G15" s="2" t="s">
        <v>60</v>
      </c>
      <c r="H15" s="2"/>
      <c r="I15" s="16" t="s">
        <v>96</v>
      </c>
      <c r="J15" s="27" t="s">
        <v>88</v>
      </c>
      <c r="K15" s="2" t="s">
        <v>60</v>
      </c>
      <c r="L15" s="10" t="s">
        <v>25</v>
      </c>
      <c r="M15" s="2" t="s">
        <v>152</v>
      </c>
      <c r="N15" t="s">
        <v>75</v>
      </c>
      <c r="P15" t="s">
        <v>116</v>
      </c>
    </row>
    <row r="16" spans="1:17" hidden="1">
      <c r="A16" s="39" t="s">
        <v>23</v>
      </c>
      <c r="B16" s="53" t="s">
        <v>153</v>
      </c>
      <c r="C16" s="37" t="s">
        <v>56</v>
      </c>
      <c r="D16" s="37" t="s">
        <v>154</v>
      </c>
      <c r="E16" s="37" t="s">
        <v>155</v>
      </c>
      <c r="F16" s="37" t="s">
        <v>156</v>
      </c>
      <c r="G16" s="37" t="s">
        <v>60</v>
      </c>
      <c r="H16" s="37" t="s">
        <v>157</v>
      </c>
      <c r="I16" s="38" t="s">
        <v>158</v>
      </c>
      <c r="J16" s="67" t="s">
        <v>159</v>
      </c>
      <c r="K16" s="37" t="s">
        <v>89</v>
      </c>
      <c r="L16" s="61" t="s">
        <v>64</v>
      </c>
      <c r="M16" s="37" t="s">
        <v>160</v>
      </c>
    </row>
    <row r="17" spans="1:17" hidden="1">
      <c r="A17" s="36" t="s">
        <v>22</v>
      </c>
      <c r="B17" s="37" t="s">
        <v>82</v>
      </c>
      <c r="C17" s="37" t="s">
        <v>56</v>
      </c>
      <c r="D17" s="37" t="s">
        <v>161</v>
      </c>
      <c r="E17" s="37" t="s">
        <v>162</v>
      </c>
      <c r="F17" s="37" t="s">
        <v>163</v>
      </c>
      <c r="G17" s="2" t="s">
        <v>60</v>
      </c>
      <c r="H17" s="2"/>
      <c r="I17" s="38" t="s">
        <v>164</v>
      </c>
      <c r="J17" s="67" t="s">
        <v>165</v>
      </c>
      <c r="K17" s="37" t="s">
        <v>60</v>
      </c>
      <c r="L17" s="52" t="s">
        <v>25</v>
      </c>
      <c r="M17" s="37" t="s">
        <v>166</v>
      </c>
    </row>
    <row r="18" spans="1:17" hidden="1">
      <c r="A18" s="36" t="s">
        <v>22</v>
      </c>
      <c r="B18" s="37" t="s">
        <v>82</v>
      </c>
      <c r="C18" s="37" t="s">
        <v>56</v>
      </c>
      <c r="D18" s="37" t="s">
        <v>167</v>
      </c>
      <c r="E18" s="37" t="s">
        <v>168</v>
      </c>
      <c r="F18" s="37" t="s">
        <v>140</v>
      </c>
      <c r="G18" s="2" t="s">
        <v>60</v>
      </c>
      <c r="H18" s="2"/>
      <c r="I18" s="38" t="s">
        <v>140</v>
      </c>
      <c r="J18" s="27" t="s">
        <v>169</v>
      </c>
      <c r="K18" s="37" t="s">
        <v>60</v>
      </c>
      <c r="L18" s="52" t="s">
        <v>25</v>
      </c>
      <c r="M18" s="37" t="s">
        <v>170</v>
      </c>
    </row>
    <row r="19" spans="1:17" ht="39.6" hidden="1">
      <c r="A19" s="4" t="s">
        <v>22</v>
      </c>
      <c r="B19" s="2" t="s">
        <v>82</v>
      </c>
      <c r="C19" s="2" t="s">
        <v>56</v>
      </c>
      <c r="D19" s="2" t="s">
        <v>171</v>
      </c>
      <c r="E19" s="2" t="s">
        <v>168</v>
      </c>
      <c r="F19" s="2" t="s">
        <v>96</v>
      </c>
      <c r="G19" s="2" t="s">
        <v>60</v>
      </c>
      <c r="H19" s="2"/>
      <c r="I19" s="16" t="s">
        <v>96</v>
      </c>
      <c r="J19" s="27" t="s">
        <v>88</v>
      </c>
      <c r="K19" s="2" t="s">
        <v>60</v>
      </c>
      <c r="L19" s="10" t="s">
        <v>25</v>
      </c>
      <c r="M19" s="2" t="s">
        <v>172</v>
      </c>
      <c r="N19" t="s">
        <v>75</v>
      </c>
      <c r="P19" t="s">
        <v>116</v>
      </c>
    </row>
    <row r="20" spans="1:17" hidden="1">
      <c r="A20" s="39" t="s">
        <v>23</v>
      </c>
      <c r="B20" s="53" t="s">
        <v>153</v>
      </c>
      <c r="C20" s="37" t="s">
        <v>56</v>
      </c>
      <c r="D20" s="37" t="s">
        <v>173</v>
      </c>
      <c r="E20" s="37" t="s">
        <v>174</v>
      </c>
      <c r="F20" s="37" t="s">
        <v>175</v>
      </c>
      <c r="G20" s="37" t="s">
        <v>60</v>
      </c>
      <c r="H20" s="37" t="s">
        <v>176</v>
      </c>
      <c r="I20" s="38" t="s">
        <v>158</v>
      </c>
      <c r="J20" s="27" t="s">
        <v>177</v>
      </c>
      <c r="K20" s="37" t="s">
        <v>89</v>
      </c>
      <c r="L20" s="61" t="s">
        <v>64</v>
      </c>
      <c r="M20" s="37" t="s">
        <v>178</v>
      </c>
    </row>
    <row r="21" spans="1:17" hidden="1">
      <c r="A21" s="39" t="s">
        <v>23</v>
      </c>
      <c r="B21" s="53" t="s">
        <v>179</v>
      </c>
      <c r="C21" s="37" t="s">
        <v>56</v>
      </c>
      <c r="D21" s="37" t="s">
        <v>180</v>
      </c>
      <c r="E21" s="37" t="s">
        <v>181</v>
      </c>
      <c r="F21" s="37" t="s">
        <v>182</v>
      </c>
      <c r="G21" s="37" t="s">
        <v>60</v>
      </c>
      <c r="H21" s="53" t="s">
        <v>183</v>
      </c>
      <c r="I21" s="38" t="s">
        <v>184</v>
      </c>
      <c r="J21" s="66" t="s">
        <v>185</v>
      </c>
      <c r="K21" s="37" t="s">
        <v>89</v>
      </c>
      <c r="L21" s="59" t="s">
        <v>186</v>
      </c>
      <c r="M21" s="37" t="s">
        <v>187</v>
      </c>
    </row>
    <row r="22" spans="1:17" hidden="1">
      <c r="A22" s="36" t="s">
        <v>22</v>
      </c>
      <c r="B22" s="53" t="s">
        <v>55</v>
      </c>
      <c r="C22" s="37" t="s">
        <v>68</v>
      </c>
      <c r="D22" s="37" t="s">
        <v>188</v>
      </c>
      <c r="E22" s="37" t="s">
        <v>189</v>
      </c>
      <c r="F22" s="37" t="s">
        <v>190</v>
      </c>
      <c r="G22" s="37" t="s">
        <v>60</v>
      </c>
      <c r="H22" s="53" t="s">
        <v>191</v>
      </c>
      <c r="I22" s="38" t="s">
        <v>192</v>
      </c>
      <c r="J22" t="s">
        <v>193</v>
      </c>
      <c r="K22" s="37" t="s">
        <v>89</v>
      </c>
      <c r="L22" s="59" t="s">
        <v>186</v>
      </c>
      <c r="M22" s="37" t="s">
        <v>194</v>
      </c>
      <c r="N22" t="s">
        <v>75</v>
      </c>
    </row>
    <row r="23" spans="1:17" ht="39.6" hidden="1">
      <c r="A23" s="4" t="s">
        <v>22</v>
      </c>
      <c r="B23" s="2" t="s">
        <v>195</v>
      </c>
      <c r="C23" s="2" t="s">
        <v>68</v>
      </c>
      <c r="D23" s="2" t="s">
        <v>196</v>
      </c>
      <c r="E23" s="2" t="s">
        <v>197</v>
      </c>
      <c r="F23" s="2" t="s">
        <v>198</v>
      </c>
      <c r="G23" s="2" t="s">
        <v>60</v>
      </c>
      <c r="H23" s="2"/>
      <c r="I23" s="16" t="s">
        <v>199</v>
      </c>
      <c r="J23" s="27" t="s">
        <v>88</v>
      </c>
      <c r="K23" s="2" t="s">
        <v>200</v>
      </c>
      <c r="L23" s="11" t="s">
        <v>37</v>
      </c>
      <c r="M23" s="2" t="s">
        <v>201</v>
      </c>
      <c r="N23" t="s">
        <v>75</v>
      </c>
    </row>
    <row r="24" spans="1:17" hidden="1">
      <c r="A24" s="36" t="s">
        <v>22</v>
      </c>
      <c r="B24" s="53" t="s">
        <v>55</v>
      </c>
      <c r="C24" s="37" t="s">
        <v>68</v>
      </c>
      <c r="D24" s="37" t="s">
        <v>202</v>
      </c>
      <c r="E24" s="37" t="s">
        <v>203</v>
      </c>
      <c r="F24" s="37" t="s">
        <v>204</v>
      </c>
      <c r="G24" s="37" t="s">
        <v>60</v>
      </c>
      <c r="H24" s="37" t="s">
        <v>205</v>
      </c>
      <c r="I24" s="38" t="s">
        <v>206</v>
      </c>
      <c r="J24" s="68" t="s">
        <v>207</v>
      </c>
      <c r="K24" s="37" t="s">
        <v>200</v>
      </c>
      <c r="L24" s="61" t="s">
        <v>64</v>
      </c>
      <c r="M24" s="37" t="s">
        <v>208</v>
      </c>
      <c r="N24" t="s">
        <v>66</v>
      </c>
      <c r="O24" s="28">
        <v>46225</v>
      </c>
      <c r="P24" t="s">
        <v>209</v>
      </c>
    </row>
    <row r="25" spans="1:17" hidden="1">
      <c r="A25" s="36" t="s">
        <v>22</v>
      </c>
      <c r="B25" s="54" t="s">
        <v>82</v>
      </c>
      <c r="C25" s="37" t="s">
        <v>68</v>
      </c>
      <c r="D25" s="37" t="s">
        <v>210</v>
      </c>
      <c r="E25" s="37" t="s">
        <v>211</v>
      </c>
      <c r="F25" s="37" t="s">
        <v>212</v>
      </c>
      <c r="G25" s="37" t="s">
        <v>86</v>
      </c>
      <c r="H25" s="55" t="s">
        <v>108</v>
      </c>
      <c r="I25" s="38" t="s">
        <v>109</v>
      </c>
      <c r="J25" s="27" t="s">
        <v>88</v>
      </c>
      <c r="K25" s="37" t="s">
        <v>89</v>
      </c>
      <c r="L25" s="60" t="s">
        <v>90</v>
      </c>
      <c r="M25" s="37" t="s">
        <v>213</v>
      </c>
      <c r="P25" t="s">
        <v>111</v>
      </c>
    </row>
    <row r="26" spans="1:17" hidden="1">
      <c r="A26" s="36" t="s">
        <v>22</v>
      </c>
      <c r="B26" s="53" t="s">
        <v>195</v>
      </c>
      <c r="C26" s="37" t="s">
        <v>68</v>
      </c>
      <c r="D26" s="37" t="s">
        <v>214</v>
      </c>
      <c r="E26" s="37" t="s">
        <v>215</v>
      </c>
      <c r="F26" s="37" t="s">
        <v>216</v>
      </c>
      <c r="G26" s="37" t="s">
        <v>60</v>
      </c>
      <c r="H26" s="58" t="s">
        <v>121</v>
      </c>
      <c r="I26" s="38" t="s">
        <v>217</v>
      </c>
      <c r="J26" t="s">
        <v>218</v>
      </c>
      <c r="K26" s="37" t="s">
        <v>89</v>
      </c>
      <c r="L26" s="59" t="s">
        <v>186</v>
      </c>
      <c r="M26" s="37" t="s">
        <v>219</v>
      </c>
    </row>
    <row r="27" spans="1:17" ht="39.6" hidden="1">
      <c r="A27" s="4" t="s">
        <v>22</v>
      </c>
      <c r="B27" s="2" t="s">
        <v>195</v>
      </c>
      <c r="C27" s="2" t="s">
        <v>220</v>
      </c>
      <c r="D27" s="2" t="s">
        <v>221</v>
      </c>
      <c r="E27" s="2" t="s">
        <v>222</v>
      </c>
      <c r="F27" s="2" t="s">
        <v>223</v>
      </c>
      <c r="G27" s="2" t="s">
        <v>60</v>
      </c>
      <c r="H27" s="2"/>
      <c r="I27" s="16" t="s">
        <v>88</v>
      </c>
      <c r="J27" s="27" t="s">
        <v>88</v>
      </c>
      <c r="K27" s="2" t="s">
        <v>88</v>
      </c>
      <c r="L27" s="11" t="s">
        <v>40</v>
      </c>
      <c r="M27" s="2" t="s">
        <v>224</v>
      </c>
    </row>
    <row r="28" spans="1:17" hidden="1">
      <c r="A28" s="36" t="s">
        <v>22</v>
      </c>
      <c r="B28" s="54" t="s">
        <v>195</v>
      </c>
      <c r="C28" s="37" t="s">
        <v>68</v>
      </c>
      <c r="D28" s="37" t="s">
        <v>225</v>
      </c>
      <c r="E28" s="37" t="s">
        <v>226</v>
      </c>
      <c r="F28" s="37" t="s">
        <v>227</v>
      </c>
      <c r="G28" s="37" t="s">
        <v>86</v>
      </c>
      <c r="H28" s="55" t="s">
        <v>228</v>
      </c>
      <c r="I28" s="38" t="s">
        <v>229</v>
      </c>
      <c r="J28" s="27" t="s">
        <v>88</v>
      </c>
      <c r="K28" s="37" t="s">
        <v>89</v>
      </c>
      <c r="L28" s="60" t="s">
        <v>90</v>
      </c>
      <c r="M28" s="37" t="s">
        <v>230</v>
      </c>
    </row>
    <row r="29" spans="1:17" ht="92.45" hidden="1">
      <c r="A29" s="4" t="s">
        <v>22</v>
      </c>
      <c r="B29" s="2" t="s">
        <v>195</v>
      </c>
      <c r="C29" s="2" t="s">
        <v>125</v>
      </c>
      <c r="D29" s="2" t="s">
        <v>231</v>
      </c>
      <c r="E29" s="2" t="s">
        <v>232</v>
      </c>
      <c r="F29" s="2" t="s">
        <v>233</v>
      </c>
      <c r="G29" s="2" t="s">
        <v>60</v>
      </c>
      <c r="H29" s="2"/>
      <c r="I29" s="16" t="s">
        <v>234</v>
      </c>
      <c r="J29" s="66" t="s">
        <v>235</v>
      </c>
      <c r="K29" s="2" t="s">
        <v>236</v>
      </c>
      <c r="L29" s="32" t="s">
        <v>237</v>
      </c>
      <c r="M29" s="2" t="s">
        <v>238</v>
      </c>
      <c r="Q29" t="s">
        <v>239</v>
      </c>
    </row>
    <row r="30" spans="1:17" ht="26.45">
      <c r="A30" s="7" t="s">
        <v>23</v>
      </c>
      <c r="B30" s="2" t="s">
        <v>117</v>
      </c>
      <c r="C30" s="2" t="s">
        <v>68</v>
      </c>
      <c r="D30" s="2" t="s">
        <v>240</v>
      </c>
      <c r="E30" s="2" t="s">
        <v>241</v>
      </c>
      <c r="F30" s="2" t="s">
        <v>242</v>
      </c>
      <c r="G30" s="2" t="s">
        <v>60</v>
      </c>
      <c r="H30" s="2"/>
      <c r="I30" s="16" t="s">
        <v>72</v>
      </c>
      <c r="J30" s="67" t="s">
        <v>243</v>
      </c>
      <c r="K30" s="2" t="s">
        <v>60</v>
      </c>
      <c r="L30" s="10" t="s">
        <v>25</v>
      </c>
      <c r="M30" s="2" t="s">
        <v>244</v>
      </c>
    </row>
    <row r="31" spans="1:17" ht="26.45">
      <c r="A31" s="7" t="s">
        <v>23</v>
      </c>
      <c r="B31" s="2" t="s">
        <v>117</v>
      </c>
      <c r="C31" s="2" t="s">
        <v>68</v>
      </c>
      <c r="D31" s="2" t="s">
        <v>245</v>
      </c>
      <c r="E31" s="2" t="s">
        <v>246</v>
      </c>
      <c r="F31" s="2" t="s">
        <v>247</v>
      </c>
      <c r="G31" s="2" t="s">
        <v>60</v>
      </c>
      <c r="H31" s="2"/>
      <c r="I31" s="16" t="s">
        <v>146</v>
      </c>
      <c r="J31" s="67" t="s">
        <v>248</v>
      </c>
      <c r="K31" s="2" t="s">
        <v>60</v>
      </c>
      <c r="L31" s="10" t="s">
        <v>25</v>
      </c>
      <c r="M31" s="2" t="s">
        <v>249</v>
      </c>
    </row>
    <row r="32" spans="1:17" ht="39.6">
      <c r="A32" s="7" t="s">
        <v>23</v>
      </c>
      <c r="B32" s="2" t="s">
        <v>117</v>
      </c>
      <c r="C32" s="2" t="s">
        <v>68</v>
      </c>
      <c r="D32" s="2" t="s">
        <v>250</v>
      </c>
      <c r="E32" s="2" t="s">
        <v>251</v>
      </c>
      <c r="F32" s="2" t="s">
        <v>252</v>
      </c>
      <c r="G32" s="2" t="s">
        <v>60</v>
      </c>
      <c r="H32" s="2"/>
      <c r="I32" s="16" t="s">
        <v>253</v>
      </c>
      <c r="J32" s="67" t="s">
        <v>254</v>
      </c>
      <c r="K32" s="2" t="s">
        <v>200</v>
      </c>
      <c r="L32" s="11" t="s">
        <v>37</v>
      </c>
      <c r="M32" s="2" t="s">
        <v>255</v>
      </c>
      <c r="N32" t="s">
        <v>75</v>
      </c>
    </row>
    <row r="33" spans="1:16" ht="39.6">
      <c r="A33" s="7" t="s">
        <v>23</v>
      </c>
      <c r="B33" s="2" t="s">
        <v>117</v>
      </c>
      <c r="C33" s="2" t="s">
        <v>68</v>
      </c>
      <c r="D33" s="2" t="s">
        <v>256</v>
      </c>
      <c r="E33" s="2" t="s">
        <v>257</v>
      </c>
      <c r="F33" s="2" t="s">
        <v>258</v>
      </c>
      <c r="G33" s="2" t="s">
        <v>60</v>
      </c>
      <c r="H33" s="2"/>
      <c r="I33" s="16" t="s">
        <v>259</v>
      </c>
      <c r="J33" s="67" t="s">
        <v>260</v>
      </c>
      <c r="K33" s="2" t="s">
        <v>60</v>
      </c>
      <c r="L33" s="10" t="s">
        <v>25</v>
      </c>
      <c r="M33" s="2" t="s">
        <v>261</v>
      </c>
    </row>
    <row r="34" spans="1:16" hidden="1">
      <c r="A34" s="36" t="s">
        <v>22</v>
      </c>
      <c r="B34" s="53" t="s">
        <v>195</v>
      </c>
      <c r="C34" s="37" t="s">
        <v>68</v>
      </c>
      <c r="D34" s="37" t="s">
        <v>262</v>
      </c>
      <c r="E34" s="37" t="s">
        <v>263</v>
      </c>
      <c r="F34" s="37" t="s">
        <v>264</v>
      </c>
      <c r="G34" s="37" t="s">
        <v>60</v>
      </c>
      <c r="H34" s="57" t="s">
        <v>265</v>
      </c>
      <c r="I34" s="38" t="s">
        <v>266</v>
      </c>
      <c r="J34" s="66" t="s">
        <v>267</v>
      </c>
      <c r="K34" s="37" t="s">
        <v>89</v>
      </c>
      <c r="L34" s="59" t="s">
        <v>186</v>
      </c>
      <c r="M34" s="37" t="s">
        <v>268</v>
      </c>
    </row>
    <row r="35" spans="1:16" hidden="1">
      <c r="A35" s="39" t="s">
        <v>23</v>
      </c>
      <c r="B35" s="53" t="s">
        <v>269</v>
      </c>
      <c r="C35" s="37" t="s">
        <v>68</v>
      </c>
      <c r="D35" s="37" t="s">
        <v>270</v>
      </c>
      <c r="E35" s="37" t="s">
        <v>271</v>
      </c>
      <c r="F35" s="37" t="s">
        <v>272</v>
      </c>
      <c r="G35" s="37" t="s">
        <v>60</v>
      </c>
      <c r="H35" s="57" t="s">
        <v>273</v>
      </c>
      <c r="I35" s="38" t="s">
        <v>88</v>
      </c>
      <c r="J35" t="s">
        <v>274</v>
      </c>
      <c r="K35" s="37" t="s">
        <v>89</v>
      </c>
      <c r="L35" s="59" t="s">
        <v>186</v>
      </c>
      <c r="M35" s="37" t="s">
        <v>275</v>
      </c>
    </row>
    <row r="36" spans="1:16" hidden="1">
      <c r="A36" s="39" t="s">
        <v>23</v>
      </c>
      <c r="B36" s="53" t="s">
        <v>179</v>
      </c>
      <c r="C36" s="37" t="s">
        <v>68</v>
      </c>
      <c r="D36" s="37" t="s">
        <v>276</v>
      </c>
      <c r="E36" s="37" t="s">
        <v>277</v>
      </c>
      <c r="F36" s="37" t="s">
        <v>278</v>
      </c>
      <c r="G36" s="37" t="s">
        <v>60</v>
      </c>
      <c r="H36" s="57" t="s">
        <v>279</v>
      </c>
      <c r="I36" s="38" t="s">
        <v>280</v>
      </c>
      <c r="J36" s="66" t="s">
        <v>281</v>
      </c>
      <c r="K36" s="37" t="s">
        <v>236</v>
      </c>
      <c r="L36" s="59" t="s">
        <v>186</v>
      </c>
      <c r="M36" s="37" t="s">
        <v>282</v>
      </c>
    </row>
    <row r="37" spans="1:16" hidden="1">
      <c r="A37" s="39" t="s">
        <v>23</v>
      </c>
      <c r="B37" s="53" t="s">
        <v>269</v>
      </c>
      <c r="C37" s="37" t="s">
        <v>283</v>
      </c>
      <c r="D37" s="37" t="s">
        <v>284</v>
      </c>
      <c r="E37" s="37" t="s">
        <v>285</v>
      </c>
      <c r="F37" s="37" t="s">
        <v>286</v>
      </c>
      <c r="G37" s="37" t="s">
        <v>60</v>
      </c>
      <c r="H37" s="57" t="s">
        <v>287</v>
      </c>
      <c r="I37" s="38" t="s">
        <v>88</v>
      </c>
      <c r="J37" t="s">
        <v>288</v>
      </c>
      <c r="K37" s="37" t="s">
        <v>89</v>
      </c>
      <c r="L37" s="59" t="s">
        <v>186</v>
      </c>
      <c r="M37" s="37" t="s">
        <v>289</v>
      </c>
    </row>
    <row r="38" spans="1:16" ht="79.150000000000006">
      <c r="A38" s="7" t="s">
        <v>23</v>
      </c>
      <c r="B38" s="2" t="s">
        <v>117</v>
      </c>
      <c r="C38" s="2" t="s">
        <v>125</v>
      </c>
      <c r="D38" s="2" t="s">
        <v>290</v>
      </c>
      <c r="E38" s="2" t="s">
        <v>291</v>
      </c>
      <c r="F38" s="2" t="s">
        <v>292</v>
      </c>
      <c r="G38" s="2" t="s">
        <v>60</v>
      </c>
      <c r="H38" s="2"/>
      <c r="I38" s="16" t="s">
        <v>293</v>
      </c>
      <c r="J38" s="27" t="s">
        <v>88</v>
      </c>
      <c r="K38" s="2" t="s">
        <v>236</v>
      </c>
      <c r="L38" s="11" t="s">
        <v>40</v>
      </c>
      <c r="M38" s="2" t="s">
        <v>294</v>
      </c>
    </row>
    <row r="39" spans="1:16" ht="39.6">
      <c r="A39" s="7" t="s">
        <v>23</v>
      </c>
      <c r="B39" s="2" t="s">
        <v>117</v>
      </c>
      <c r="C39" s="2" t="s">
        <v>125</v>
      </c>
      <c r="D39" s="2" t="s">
        <v>295</v>
      </c>
      <c r="E39" s="2" t="s">
        <v>296</v>
      </c>
      <c r="F39" s="2" t="s">
        <v>297</v>
      </c>
      <c r="G39" s="2" t="s">
        <v>298</v>
      </c>
      <c r="H39" s="2"/>
      <c r="I39" s="16" t="s">
        <v>88</v>
      </c>
      <c r="J39" s="27" t="s">
        <v>88</v>
      </c>
      <c r="K39" s="2" t="s">
        <v>88</v>
      </c>
      <c r="L39" s="11" t="s">
        <v>40</v>
      </c>
      <c r="M39" s="2" t="s">
        <v>299</v>
      </c>
    </row>
    <row r="40" spans="1:16" ht="26.45">
      <c r="A40" s="7" t="s">
        <v>23</v>
      </c>
      <c r="B40" s="2" t="s">
        <v>117</v>
      </c>
      <c r="C40" s="2" t="s">
        <v>125</v>
      </c>
      <c r="D40" s="2" t="s">
        <v>300</v>
      </c>
      <c r="E40" s="2" t="s">
        <v>301</v>
      </c>
      <c r="F40" s="2" t="s">
        <v>302</v>
      </c>
      <c r="G40" s="2" t="s">
        <v>60</v>
      </c>
      <c r="H40" s="2"/>
      <c r="I40" s="16" t="s">
        <v>88</v>
      </c>
      <c r="J40" s="27" t="s">
        <v>88</v>
      </c>
      <c r="K40" s="2" t="s">
        <v>88</v>
      </c>
      <c r="L40" s="11" t="s">
        <v>40</v>
      </c>
      <c r="M40" s="2" t="s">
        <v>303</v>
      </c>
    </row>
    <row r="41" spans="1:16" ht="39.6">
      <c r="A41" s="7" t="s">
        <v>23</v>
      </c>
      <c r="B41" s="2" t="s">
        <v>117</v>
      </c>
      <c r="C41" s="2" t="s">
        <v>125</v>
      </c>
      <c r="D41" s="2" t="s">
        <v>304</v>
      </c>
      <c r="E41" s="2" t="s">
        <v>305</v>
      </c>
      <c r="F41" s="2" t="s">
        <v>306</v>
      </c>
      <c r="G41" s="2" t="s">
        <v>60</v>
      </c>
      <c r="H41" s="2"/>
      <c r="I41" s="16" t="s">
        <v>88</v>
      </c>
      <c r="J41" s="27" t="s">
        <v>88</v>
      </c>
      <c r="K41" s="2" t="s">
        <v>88</v>
      </c>
      <c r="L41" s="11" t="s">
        <v>40</v>
      </c>
      <c r="M41" s="2" t="s">
        <v>307</v>
      </c>
    </row>
    <row r="42" spans="1:16" ht="79.150000000000006">
      <c r="A42" s="7" t="s">
        <v>23</v>
      </c>
      <c r="B42" s="2" t="s">
        <v>117</v>
      </c>
      <c r="C42" s="2" t="s">
        <v>308</v>
      </c>
      <c r="D42" s="2" t="s">
        <v>309</v>
      </c>
      <c r="E42" s="2" t="s">
        <v>310</v>
      </c>
      <c r="F42" s="2" t="s">
        <v>311</v>
      </c>
      <c r="G42" s="2" t="s">
        <v>60</v>
      </c>
      <c r="H42" s="2"/>
      <c r="I42" s="16" t="s">
        <v>312</v>
      </c>
      <c r="J42" s="27" t="s">
        <v>88</v>
      </c>
      <c r="K42" s="2" t="s">
        <v>200</v>
      </c>
      <c r="L42" s="11" t="s">
        <v>37</v>
      </c>
      <c r="M42" s="2" t="s">
        <v>313</v>
      </c>
      <c r="N42" t="s">
        <v>75</v>
      </c>
      <c r="P42" t="s">
        <v>314</v>
      </c>
    </row>
    <row r="43" spans="1:16">
      <c r="A43" s="39" t="s">
        <v>23</v>
      </c>
      <c r="B43" s="37" t="s">
        <v>117</v>
      </c>
      <c r="C43" s="37" t="s">
        <v>56</v>
      </c>
      <c r="D43" s="37" t="s">
        <v>315</v>
      </c>
      <c r="E43" s="37" t="s">
        <v>316</v>
      </c>
      <c r="F43" s="37" t="s">
        <v>317</v>
      </c>
      <c r="G43" s="2" t="s">
        <v>60</v>
      </c>
      <c r="H43" s="2"/>
      <c r="I43" s="38" t="s">
        <v>318</v>
      </c>
      <c r="J43" s="27" t="s">
        <v>319</v>
      </c>
      <c r="K43" s="37" t="s">
        <v>60</v>
      </c>
      <c r="L43" s="52" t="s">
        <v>25</v>
      </c>
      <c r="M43" s="37" t="s">
        <v>320</v>
      </c>
    </row>
    <row r="44" spans="1:16" hidden="1">
      <c r="A44" s="36" t="s">
        <v>22</v>
      </c>
      <c r="B44" s="53" t="s">
        <v>55</v>
      </c>
      <c r="C44" s="37" t="s">
        <v>308</v>
      </c>
      <c r="D44" s="37" t="s">
        <v>321</v>
      </c>
      <c r="E44" s="37" t="s">
        <v>322</v>
      </c>
      <c r="F44" s="37" t="s">
        <v>323</v>
      </c>
      <c r="G44" s="37" t="s">
        <v>60</v>
      </c>
      <c r="H44" s="53" t="s">
        <v>324</v>
      </c>
      <c r="I44" s="38" t="s">
        <v>325</v>
      </c>
      <c r="J44" s="66" t="s">
        <v>326</v>
      </c>
      <c r="K44" s="37" t="s">
        <v>89</v>
      </c>
      <c r="L44" s="59" t="s">
        <v>186</v>
      </c>
      <c r="M44" s="37" t="s">
        <v>327</v>
      </c>
    </row>
    <row r="45" spans="1:16" ht="26.45" hidden="1">
      <c r="A45" s="7" t="s">
        <v>23</v>
      </c>
      <c r="B45" s="2" t="s">
        <v>153</v>
      </c>
      <c r="C45" s="2" t="s">
        <v>68</v>
      </c>
      <c r="D45" s="2" t="s">
        <v>240</v>
      </c>
      <c r="E45" s="2" t="s">
        <v>328</v>
      </c>
      <c r="F45" s="2" t="s">
        <v>329</v>
      </c>
      <c r="G45" s="2" t="s">
        <v>60</v>
      </c>
      <c r="H45" s="2"/>
      <c r="I45" s="16" t="s">
        <v>72</v>
      </c>
      <c r="J45" s="27" t="s">
        <v>73</v>
      </c>
      <c r="K45" s="2" t="s">
        <v>60</v>
      </c>
      <c r="L45" s="10" t="s">
        <v>25</v>
      </c>
      <c r="M45" s="2" t="s">
        <v>244</v>
      </c>
    </row>
    <row r="46" spans="1:16" ht="39.6" hidden="1">
      <c r="A46" s="7" t="s">
        <v>23</v>
      </c>
      <c r="B46" s="2" t="s">
        <v>153</v>
      </c>
      <c r="C46" s="2" t="s">
        <v>68</v>
      </c>
      <c r="D46" s="2" t="s">
        <v>196</v>
      </c>
      <c r="E46" s="2" t="s">
        <v>330</v>
      </c>
      <c r="F46" s="2" t="s">
        <v>331</v>
      </c>
      <c r="G46" s="2" t="s">
        <v>60</v>
      </c>
      <c r="H46" s="2"/>
      <c r="I46" s="16" t="s">
        <v>199</v>
      </c>
      <c r="J46" s="27" t="s">
        <v>88</v>
      </c>
      <c r="K46" s="2" t="s">
        <v>200</v>
      </c>
      <c r="L46" s="11" t="s">
        <v>37</v>
      </c>
      <c r="M46" s="2" t="s">
        <v>201</v>
      </c>
      <c r="N46" t="s">
        <v>75</v>
      </c>
      <c r="P46" t="s">
        <v>116</v>
      </c>
    </row>
    <row r="47" spans="1:16" hidden="1">
      <c r="A47" s="36" t="s">
        <v>22</v>
      </c>
      <c r="B47" s="53" t="s">
        <v>82</v>
      </c>
      <c r="C47" s="37" t="s">
        <v>308</v>
      </c>
      <c r="D47" s="37" t="s">
        <v>332</v>
      </c>
      <c r="E47" s="37" t="s">
        <v>333</v>
      </c>
      <c r="F47" s="37" t="s">
        <v>334</v>
      </c>
      <c r="G47" s="37" t="s">
        <v>60</v>
      </c>
      <c r="H47" s="53" t="s">
        <v>324</v>
      </c>
      <c r="I47" s="38" t="s">
        <v>335</v>
      </c>
      <c r="J47" s="66" t="s">
        <v>336</v>
      </c>
      <c r="K47" s="37" t="s">
        <v>89</v>
      </c>
      <c r="L47" s="59" t="s">
        <v>186</v>
      </c>
      <c r="M47" s="37" t="s">
        <v>337</v>
      </c>
    </row>
    <row r="48" spans="1:16" hidden="1">
      <c r="A48" s="36" t="s">
        <v>22</v>
      </c>
      <c r="B48" s="53" t="s">
        <v>195</v>
      </c>
      <c r="C48" s="37" t="s">
        <v>308</v>
      </c>
      <c r="D48" s="37" t="s">
        <v>338</v>
      </c>
      <c r="E48" s="37" t="s">
        <v>339</v>
      </c>
      <c r="F48" s="37" t="s">
        <v>340</v>
      </c>
      <c r="G48" s="37" t="s">
        <v>60</v>
      </c>
      <c r="H48" s="53" t="s">
        <v>324</v>
      </c>
      <c r="I48" s="38" t="s">
        <v>341</v>
      </c>
      <c r="J48" s="66" t="s">
        <v>235</v>
      </c>
      <c r="K48" s="37" t="s">
        <v>89</v>
      </c>
      <c r="L48" s="59" t="s">
        <v>186</v>
      </c>
      <c r="M48" s="37" t="s">
        <v>342</v>
      </c>
    </row>
    <row r="49" spans="1:15" ht="52.9" hidden="1">
      <c r="A49" s="7" t="s">
        <v>23</v>
      </c>
      <c r="B49" s="2" t="s">
        <v>153</v>
      </c>
      <c r="C49" s="2" t="s">
        <v>56</v>
      </c>
      <c r="D49" s="2" t="s">
        <v>343</v>
      </c>
      <c r="E49" s="2" t="s">
        <v>344</v>
      </c>
      <c r="F49" s="2" t="s">
        <v>345</v>
      </c>
      <c r="G49" s="2" t="s">
        <v>60</v>
      </c>
      <c r="H49" s="2"/>
      <c r="I49" s="16" t="s">
        <v>346</v>
      </c>
      <c r="J49" s="27" t="s">
        <v>88</v>
      </c>
      <c r="K49" s="2" t="s">
        <v>236</v>
      </c>
      <c r="L49" s="11" t="s">
        <v>37</v>
      </c>
      <c r="M49" s="2" t="s">
        <v>347</v>
      </c>
      <c r="N49" t="s">
        <v>75</v>
      </c>
    </row>
    <row r="50" spans="1:15" ht="66" hidden="1">
      <c r="A50" s="7" t="s">
        <v>23</v>
      </c>
      <c r="B50" s="2" t="s">
        <v>153</v>
      </c>
      <c r="C50" s="2" t="s">
        <v>220</v>
      </c>
      <c r="D50" s="2" t="s">
        <v>348</v>
      </c>
      <c r="E50" s="2" t="s">
        <v>349</v>
      </c>
      <c r="F50" s="2" t="s">
        <v>223</v>
      </c>
      <c r="G50" s="2" t="s">
        <v>60</v>
      </c>
      <c r="H50" s="2"/>
      <c r="I50" s="16" t="s">
        <v>88</v>
      </c>
      <c r="J50" s="27" t="s">
        <v>88</v>
      </c>
      <c r="K50" s="2" t="s">
        <v>88</v>
      </c>
      <c r="L50" s="11" t="s">
        <v>40</v>
      </c>
      <c r="M50" s="2" t="s">
        <v>350</v>
      </c>
    </row>
    <row r="51" spans="1:15" hidden="1">
      <c r="A51" s="39" t="s">
        <v>23</v>
      </c>
      <c r="B51" s="53" t="s">
        <v>153</v>
      </c>
      <c r="C51" s="37" t="s">
        <v>308</v>
      </c>
      <c r="D51" s="37" t="s">
        <v>351</v>
      </c>
      <c r="E51" s="37" t="s">
        <v>352</v>
      </c>
      <c r="F51" s="37" t="s">
        <v>353</v>
      </c>
      <c r="G51" s="37" t="s">
        <v>60</v>
      </c>
      <c r="H51" s="57" t="s">
        <v>324</v>
      </c>
      <c r="I51" s="38" t="s">
        <v>354</v>
      </c>
      <c r="J51" t="s">
        <v>355</v>
      </c>
      <c r="K51" s="37" t="s">
        <v>89</v>
      </c>
      <c r="L51" s="59" t="s">
        <v>186</v>
      </c>
      <c r="M51" s="37" t="s">
        <v>356</v>
      </c>
    </row>
    <row r="52" spans="1:15" ht="26.45" hidden="1">
      <c r="A52" s="7" t="s">
        <v>23</v>
      </c>
      <c r="B52" s="2" t="s">
        <v>269</v>
      </c>
      <c r="C52" s="2" t="s">
        <v>68</v>
      </c>
      <c r="D52" s="2" t="s">
        <v>357</v>
      </c>
      <c r="E52" s="2" t="s">
        <v>358</v>
      </c>
      <c r="F52" s="2" t="s">
        <v>359</v>
      </c>
      <c r="G52" s="2" t="s">
        <v>60</v>
      </c>
      <c r="H52" s="2"/>
      <c r="I52" s="16" t="s">
        <v>72</v>
      </c>
      <c r="J52" s="67" t="s">
        <v>243</v>
      </c>
      <c r="K52" s="2" t="s">
        <v>60</v>
      </c>
      <c r="L52" s="10" t="s">
        <v>25</v>
      </c>
      <c r="M52" s="2" t="s">
        <v>244</v>
      </c>
    </row>
    <row r="53" spans="1:15" ht="39.6" hidden="1">
      <c r="A53" s="7" t="s">
        <v>23</v>
      </c>
      <c r="B53" s="2" t="s">
        <v>269</v>
      </c>
      <c r="C53" s="2" t="s">
        <v>68</v>
      </c>
      <c r="D53" s="2" t="s">
        <v>360</v>
      </c>
      <c r="E53" s="2" t="s">
        <v>361</v>
      </c>
      <c r="F53" s="2" t="s">
        <v>362</v>
      </c>
      <c r="G53" s="2" t="s">
        <v>60</v>
      </c>
      <c r="H53" s="2"/>
      <c r="I53" s="16" t="s">
        <v>363</v>
      </c>
      <c r="J53" s="27" t="s">
        <v>88</v>
      </c>
      <c r="K53" s="2" t="s">
        <v>200</v>
      </c>
      <c r="L53" s="11" t="s">
        <v>37</v>
      </c>
      <c r="M53" s="2" t="s">
        <v>364</v>
      </c>
      <c r="N53" t="s">
        <v>75</v>
      </c>
    </row>
    <row r="54" spans="1:15" hidden="1">
      <c r="A54" s="39" t="s">
        <v>23</v>
      </c>
      <c r="B54" s="53" t="s">
        <v>269</v>
      </c>
      <c r="C54" s="37" t="s">
        <v>308</v>
      </c>
      <c r="D54" s="37" t="s">
        <v>365</v>
      </c>
      <c r="E54" s="37" t="s">
        <v>366</v>
      </c>
      <c r="F54" s="37" t="s">
        <v>367</v>
      </c>
      <c r="G54" s="37" t="s">
        <v>60</v>
      </c>
      <c r="H54" s="57" t="s">
        <v>324</v>
      </c>
      <c r="I54" s="38" t="s">
        <v>368</v>
      </c>
      <c r="J54" s="66" t="s">
        <v>369</v>
      </c>
      <c r="K54" s="37" t="s">
        <v>89</v>
      </c>
      <c r="L54" s="59" t="s">
        <v>186</v>
      </c>
      <c r="M54" s="37" t="s">
        <v>370</v>
      </c>
    </row>
    <row r="55" spans="1:15" ht="26.45" hidden="1">
      <c r="A55" s="7" t="s">
        <v>23</v>
      </c>
      <c r="B55" s="2" t="s">
        <v>269</v>
      </c>
      <c r="C55" s="2" t="s">
        <v>68</v>
      </c>
      <c r="D55" s="2" t="s">
        <v>371</v>
      </c>
      <c r="E55" s="2" t="s">
        <v>372</v>
      </c>
      <c r="F55" s="2" t="s">
        <v>373</v>
      </c>
      <c r="G55" s="2" t="s">
        <v>60</v>
      </c>
      <c r="H55" s="2"/>
      <c r="I55" s="16" t="s">
        <v>374</v>
      </c>
      <c r="J55" s="27" t="s">
        <v>375</v>
      </c>
      <c r="K55" s="2" t="s">
        <v>60</v>
      </c>
      <c r="L55" s="10" t="s">
        <v>25</v>
      </c>
      <c r="M55" s="2" t="s">
        <v>376</v>
      </c>
    </row>
    <row r="56" spans="1:15" ht="52.9" hidden="1">
      <c r="A56" s="7" t="s">
        <v>23</v>
      </c>
      <c r="B56" s="2" t="s">
        <v>269</v>
      </c>
      <c r="C56" s="2" t="s">
        <v>56</v>
      </c>
      <c r="D56" s="2" t="s">
        <v>377</v>
      </c>
      <c r="E56" s="2" t="s">
        <v>378</v>
      </c>
      <c r="F56" s="2" t="s">
        <v>379</v>
      </c>
      <c r="G56" s="2" t="s">
        <v>60</v>
      </c>
      <c r="H56" s="2"/>
      <c r="I56" s="16" t="s">
        <v>346</v>
      </c>
      <c r="J56" s="27" t="s">
        <v>88</v>
      </c>
      <c r="K56" s="2" t="s">
        <v>236</v>
      </c>
      <c r="L56" s="11" t="s">
        <v>37</v>
      </c>
      <c r="M56" s="2" t="s">
        <v>380</v>
      </c>
      <c r="N56" t="s">
        <v>75</v>
      </c>
    </row>
    <row r="57" spans="1:15" hidden="1">
      <c r="A57" s="39" t="s">
        <v>23</v>
      </c>
      <c r="B57" s="62" t="s">
        <v>179</v>
      </c>
      <c r="C57" s="37" t="s">
        <v>308</v>
      </c>
      <c r="D57" s="37" t="s">
        <v>381</v>
      </c>
      <c r="E57" s="37" t="s">
        <v>382</v>
      </c>
      <c r="F57" s="37" t="s">
        <v>383</v>
      </c>
      <c r="G57" s="37" t="s">
        <v>60</v>
      </c>
      <c r="H57" s="55" t="s">
        <v>384</v>
      </c>
      <c r="I57" s="38" t="s">
        <v>385</v>
      </c>
      <c r="J57" s="67" t="s">
        <v>386</v>
      </c>
      <c r="K57" s="37" t="s">
        <v>236</v>
      </c>
      <c r="L57" s="61" t="s">
        <v>64</v>
      </c>
      <c r="M57" s="37" t="s">
        <v>387</v>
      </c>
    </row>
    <row r="58" spans="1:15" hidden="1">
      <c r="A58" s="39" t="s">
        <v>23</v>
      </c>
      <c r="B58" s="37" t="s">
        <v>269</v>
      </c>
      <c r="C58" s="37" t="s">
        <v>308</v>
      </c>
      <c r="D58" s="37" t="s">
        <v>388</v>
      </c>
      <c r="E58" s="37" t="s">
        <v>389</v>
      </c>
      <c r="F58" s="37" t="s">
        <v>390</v>
      </c>
      <c r="G58" s="37" t="s">
        <v>60</v>
      </c>
      <c r="H58" s="55"/>
      <c r="I58" s="38" t="s">
        <v>391</v>
      </c>
      <c r="J58" s="67" t="s">
        <v>288</v>
      </c>
      <c r="K58" s="37" t="s">
        <v>89</v>
      </c>
      <c r="L58" s="11" t="s">
        <v>37</v>
      </c>
      <c r="M58" s="37" t="s">
        <v>392</v>
      </c>
    </row>
    <row r="59" spans="1:15" hidden="1">
      <c r="A59" s="39" t="s">
        <v>23</v>
      </c>
      <c r="B59" s="53" t="s">
        <v>179</v>
      </c>
      <c r="C59" s="37" t="s">
        <v>308</v>
      </c>
      <c r="D59" s="37" t="s">
        <v>393</v>
      </c>
      <c r="E59" s="37" t="s">
        <v>394</v>
      </c>
      <c r="F59" s="37" t="s">
        <v>390</v>
      </c>
      <c r="G59" s="37" t="s">
        <v>60</v>
      </c>
      <c r="H59" s="57" t="s">
        <v>191</v>
      </c>
      <c r="I59" s="38" t="s">
        <v>395</v>
      </c>
      <c r="J59" t="s">
        <v>396</v>
      </c>
      <c r="K59" s="37" t="s">
        <v>89</v>
      </c>
      <c r="L59" s="59" t="s">
        <v>186</v>
      </c>
      <c r="M59" s="37" t="s">
        <v>397</v>
      </c>
    </row>
    <row r="60" spans="1:15" ht="52.9" hidden="1">
      <c r="A60" s="7" t="s">
        <v>23</v>
      </c>
      <c r="B60" s="2" t="s">
        <v>269</v>
      </c>
      <c r="C60" s="2" t="s">
        <v>308</v>
      </c>
      <c r="D60" s="2" t="s">
        <v>398</v>
      </c>
      <c r="E60" s="2" t="s">
        <v>399</v>
      </c>
      <c r="F60" s="2" t="s">
        <v>400</v>
      </c>
      <c r="G60" s="2" t="s">
        <v>60</v>
      </c>
      <c r="H60" s="2"/>
      <c r="I60" s="16" t="s">
        <v>88</v>
      </c>
      <c r="J60" s="67" t="s">
        <v>401</v>
      </c>
      <c r="K60" s="2" t="s">
        <v>60</v>
      </c>
      <c r="L60" s="10" t="s">
        <v>25</v>
      </c>
      <c r="M60" s="2" t="s">
        <v>402</v>
      </c>
    </row>
    <row r="61" spans="1:15" ht="52.9" hidden="1">
      <c r="A61" s="7" t="s">
        <v>23</v>
      </c>
      <c r="B61" s="2" t="s">
        <v>269</v>
      </c>
      <c r="C61" s="2" t="s">
        <v>283</v>
      </c>
      <c r="D61" s="2" t="s">
        <v>403</v>
      </c>
      <c r="E61" s="2" t="s">
        <v>404</v>
      </c>
      <c r="F61" s="2" t="s">
        <v>405</v>
      </c>
      <c r="G61" s="2" t="s">
        <v>60</v>
      </c>
      <c r="H61" s="2"/>
      <c r="I61" s="16" t="s">
        <v>406</v>
      </c>
      <c r="J61" s="27" t="s">
        <v>88</v>
      </c>
      <c r="K61" s="2" t="s">
        <v>89</v>
      </c>
      <c r="L61" s="11" t="s">
        <v>37</v>
      </c>
      <c r="M61" s="2" t="s">
        <v>407</v>
      </c>
      <c r="O61" s="28">
        <v>46216</v>
      </c>
    </row>
    <row r="62" spans="1:15" hidden="1">
      <c r="A62" s="39" t="s">
        <v>23</v>
      </c>
      <c r="B62" s="37" t="s">
        <v>269</v>
      </c>
      <c r="C62" s="37" t="s">
        <v>56</v>
      </c>
      <c r="D62" s="37" t="s">
        <v>408</v>
      </c>
      <c r="E62" s="37" t="s">
        <v>409</v>
      </c>
      <c r="F62" s="37" t="s">
        <v>410</v>
      </c>
      <c r="G62" s="2" t="s">
        <v>60</v>
      </c>
      <c r="H62" s="2"/>
      <c r="I62" s="38" t="s">
        <v>411</v>
      </c>
      <c r="J62" s="27" t="s">
        <v>412</v>
      </c>
      <c r="K62" s="37" t="s">
        <v>60</v>
      </c>
      <c r="L62" s="52" t="s">
        <v>25</v>
      </c>
      <c r="M62" s="37" t="s">
        <v>413</v>
      </c>
    </row>
    <row r="63" spans="1:15" ht="66" hidden="1">
      <c r="A63" s="7" t="s">
        <v>23</v>
      </c>
      <c r="B63" s="2" t="s">
        <v>179</v>
      </c>
      <c r="C63" s="2" t="s">
        <v>220</v>
      </c>
      <c r="D63" s="2" t="s">
        <v>414</v>
      </c>
      <c r="E63" s="2" t="s">
        <v>415</v>
      </c>
      <c r="F63" s="2" t="s">
        <v>416</v>
      </c>
      <c r="G63" s="2" t="s">
        <v>60</v>
      </c>
      <c r="H63" s="2"/>
      <c r="I63" s="16" t="s">
        <v>88</v>
      </c>
      <c r="J63" s="27" t="s">
        <v>88</v>
      </c>
      <c r="K63" s="2" t="s">
        <v>88</v>
      </c>
      <c r="L63" s="11" t="s">
        <v>40</v>
      </c>
      <c r="M63" s="2" t="s">
        <v>417</v>
      </c>
    </row>
    <row r="64" spans="1:15" hidden="1">
      <c r="A64" s="39" t="s">
        <v>23</v>
      </c>
      <c r="B64" s="37" t="s">
        <v>179</v>
      </c>
      <c r="C64" s="37" t="s">
        <v>56</v>
      </c>
      <c r="D64" s="37" t="s">
        <v>418</v>
      </c>
      <c r="E64" s="37" t="s">
        <v>419</v>
      </c>
      <c r="F64" s="37" t="s">
        <v>420</v>
      </c>
      <c r="G64" s="2" t="s">
        <v>60</v>
      </c>
      <c r="H64" s="2"/>
      <c r="I64" s="38" t="s">
        <v>421</v>
      </c>
      <c r="J64" s="67" t="s">
        <v>422</v>
      </c>
      <c r="K64" s="37" t="s">
        <v>60</v>
      </c>
      <c r="L64" s="52" t="s">
        <v>25</v>
      </c>
      <c r="M64" s="37" t="s">
        <v>423</v>
      </c>
    </row>
    <row r="65" spans="1:16">
      <c r="A65" s="39" t="s">
        <v>23</v>
      </c>
      <c r="B65" s="53" t="s">
        <v>117</v>
      </c>
      <c r="C65" s="37" t="s">
        <v>424</v>
      </c>
      <c r="D65" s="37" t="s">
        <v>425</v>
      </c>
      <c r="E65" s="37" t="s">
        <v>426</v>
      </c>
      <c r="F65" s="37" t="s">
        <v>427</v>
      </c>
      <c r="G65" s="37" t="s">
        <v>60</v>
      </c>
      <c r="H65" s="57" t="s">
        <v>121</v>
      </c>
      <c r="I65" s="38" t="s">
        <v>428</v>
      </c>
      <c r="J65" t="s">
        <v>429</v>
      </c>
      <c r="K65" s="37" t="s">
        <v>89</v>
      </c>
      <c r="L65" s="59" t="s">
        <v>186</v>
      </c>
      <c r="M65" s="37" t="s">
        <v>430</v>
      </c>
    </row>
    <row r="66" spans="1:16" ht="52.9" hidden="1">
      <c r="A66" s="7" t="s">
        <v>23</v>
      </c>
      <c r="B66" s="2" t="s">
        <v>179</v>
      </c>
      <c r="C66" s="2" t="s">
        <v>56</v>
      </c>
      <c r="D66" s="2" t="s">
        <v>431</v>
      </c>
      <c r="E66" s="2" t="s">
        <v>432</v>
      </c>
      <c r="F66" s="2" t="s">
        <v>433</v>
      </c>
      <c r="G66" s="2" t="s">
        <v>60</v>
      </c>
      <c r="H66" s="55"/>
      <c r="I66" s="16" t="s">
        <v>434</v>
      </c>
      <c r="J66" s="67" t="s">
        <v>435</v>
      </c>
      <c r="K66" s="2" t="s">
        <v>89</v>
      </c>
      <c r="L66" s="11" t="s">
        <v>27</v>
      </c>
      <c r="M66" s="2" t="s">
        <v>436</v>
      </c>
    </row>
    <row r="67" spans="1:16">
      <c r="A67" s="39" t="s">
        <v>23</v>
      </c>
      <c r="B67" s="54" t="s">
        <v>117</v>
      </c>
      <c r="C67" s="37" t="s">
        <v>424</v>
      </c>
      <c r="D67" s="37" t="s">
        <v>437</v>
      </c>
      <c r="E67" s="55" t="s">
        <v>438</v>
      </c>
      <c r="F67" s="37" t="s">
        <v>439</v>
      </c>
      <c r="G67" s="37" t="s">
        <v>60</v>
      </c>
      <c r="H67" s="55" t="s">
        <v>228</v>
      </c>
      <c r="I67" s="38" t="s">
        <v>440</v>
      </c>
      <c r="J67" s="27" t="s">
        <v>88</v>
      </c>
      <c r="K67" s="37" t="s">
        <v>89</v>
      </c>
      <c r="L67" s="60" t="s">
        <v>90</v>
      </c>
      <c r="M67" s="37" t="s">
        <v>441</v>
      </c>
      <c r="P67" t="s">
        <v>442</v>
      </c>
    </row>
    <row r="68" spans="1:16" ht="26.45" hidden="1">
      <c r="A68" s="7" t="s">
        <v>23</v>
      </c>
      <c r="B68" s="2" t="s">
        <v>179</v>
      </c>
      <c r="C68" s="2" t="s">
        <v>68</v>
      </c>
      <c r="D68" s="2" t="s">
        <v>443</v>
      </c>
      <c r="E68" s="2" t="s">
        <v>444</v>
      </c>
      <c r="F68" s="2" t="s">
        <v>445</v>
      </c>
      <c r="G68" s="2" t="s">
        <v>60</v>
      </c>
      <c r="H68" s="2"/>
      <c r="I68" s="16" t="s">
        <v>446</v>
      </c>
      <c r="J68" s="67" t="s">
        <v>447</v>
      </c>
      <c r="K68" s="2" t="s">
        <v>60</v>
      </c>
      <c r="L68" s="10" t="s">
        <v>25</v>
      </c>
      <c r="M68" s="2" t="s">
        <v>448</v>
      </c>
    </row>
    <row r="69" spans="1:16" ht="26.45" hidden="1">
      <c r="A69" s="7" t="s">
        <v>23</v>
      </c>
      <c r="B69" s="2" t="s">
        <v>179</v>
      </c>
      <c r="C69" s="2" t="s">
        <v>68</v>
      </c>
      <c r="D69" s="2" t="s">
        <v>449</v>
      </c>
      <c r="E69" s="2" t="s">
        <v>450</v>
      </c>
      <c r="F69" s="2" t="s">
        <v>451</v>
      </c>
      <c r="G69" s="2" t="s">
        <v>60</v>
      </c>
      <c r="H69" s="2"/>
      <c r="I69" s="16" t="s">
        <v>452</v>
      </c>
      <c r="J69" s="67" t="s">
        <v>453</v>
      </c>
      <c r="K69" s="2" t="s">
        <v>60</v>
      </c>
      <c r="L69" s="10" t="s">
        <v>25</v>
      </c>
      <c r="M69" s="2" t="s">
        <v>454</v>
      </c>
    </row>
    <row r="70" spans="1:16" ht="39.6" hidden="1">
      <c r="A70" s="7" t="s">
        <v>23</v>
      </c>
      <c r="B70" s="2" t="s">
        <v>179</v>
      </c>
      <c r="C70" s="2" t="s">
        <v>68</v>
      </c>
      <c r="D70" s="2" t="s">
        <v>455</v>
      </c>
      <c r="E70" s="2" t="s">
        <v>456</v>
      </c>
      <c r="F70" s="2" t="s">
        <v>457</v>
      </c>
      <c r="G70" s="2" t="s">
        <v>60</v>
      </c>
      <c r="H70" s="2"/>
      <c r="I70" s="16" t="s">
        <v>458</v>
      </c>
      <c r="J70" s="67" t="s">
        <v>459</v>
      </c>
      <c r="K70" s="2" t="s">
        <v>200</v>
      </c>
      <c r="L70" s="11" t="s">
        <v>37</v>
      </c>
      <c r="M70" s="2" t="s">
        <v>460</v>
      </c>
      <c r="N70" t="s">
        <v>75</v>
      </c>
    </row>
    <row r="71" spans="1:16">
      <c r="A71" s="39" t="s">
        <v>23</v>
      </c>
      <c r="B71" s="53" t="s">
        <v>117</v>
      </c>
      <c r="C71" s="37" t="s">
        <v>424</v>
      </c>
      <c r="D71" s="37" t="s">
        <v>461</v>
      </c>
      <c r="E71" s="37" t="s">
        <v>462</v>
      </c>
      <c r="F71" s="37" t="s">
        <v>463</v>
      </c>
      <c r="G71" s="37" t="s">
        <v>60</v>
      </c>
      <c r="H71" s="57" t="s">
        <v>121</v>
      </c>
      <c r="I71" s="38" t="s">
        <v>217</v>
      </c>
      <c r="J71" t="s">
        <v>464</v>
      </c>
      <c r="K71" s="37" t="s">
        <v>89</v>
      </c>
      <c r="L71" s="59" t="s">
        <v>186</v>
      </c>
      <c r="M71" s="37" t="s">
        <v>465</v>
      </c>
    </row>
    <row r="72" spans="1:16">
      <c r="A72" s="39" t="s">
        <v>23</v>
      </c>
      <c r="B72" s="54" t="s">
        <v>117</v>
      </c>
      <c r="C72" s="37" t="s">
        <v>424</v>
      </c>
      <c r="D72" s="37" t="s">
        <v>466</v>
      </c>
      <c r="E72" s="37" t="s">
        <v>467</v>
      </c>
      <c r="F72" s="37" t="s">
        <v>468</v>
      </c>
      <c r="G72" s="37" t="s">
        <v>60</v>
      </c>
      <c r="H72" s="55" t="s">
        <v>228</v>
      </c>
      <c r="I72" s="38" t="s">
        <v>88</v>
      </c>
      <c r="J72" s="27" t="s">
        <v>88</v>
      </c>
      <c r="K72" s="37" t="s">
        <v>89</v>
      </c>
      <c r="L72" s="60" t="s">
        <v>90</v>
      </c>
      <c r="M72" s="37" t="s">
        <v>469</v>
      </c>
      <c r="P72" t="s">
        <v>442</v>
      </c>
    </row>
    <row r="73" spans="1:16" ht="26.45" hidden="1">
      <c r="A73" s="7" t="s">
        <v>23</v>
      </c>
      <c r="B73" s="2" t="s">
        <v>470</v>
      </c>
      <c r="C73" s="2" t="s">
        <v>125</v>
      </c>
      <c r="D73" s="2" t="s">
        <v>471</v>
      </c>
      <c r="E73" s="2" t="s">
        <v>472</v>
      </c>
      <c r="F73" s="2" t="s">
        <v>302</v>
      </c>
      <c r="G73" s="2" t="s">
        <v>60</v>
      </c>
      <c r="H73" s="2"/>
      <c r="I73" s="16" t="s">
        <v>88</v>
      </c>
      <c r="J73" s="27" t="s">
        <v>88</v>
      </c>
      <c r="K73" s="2" t="s">
        <v>88</v>
      </c>
      <c r="L73" s="11" t="s">
        <v>40</v>
      </c>
      <c r="M73" s="2" t="s">
        <v>303</v>
      </c>
    </row>
    <row r="74" spans="1:16" ht="26.45" hidden="1">
      <c r="A74" s="7" t="s">
        <v>23</v>
      </c>
      <c r="B74" s="2" t="s">
        <v>470</v>
      </c>
      <c r="C74" s="2" t="s">
        <v>125</v>
      </c>
      <c r="D74" s="2" t="s">
        <v>473</v>
      </c>
      <c r="E74" s="2" t="s">
        <v>474</v>
      </c>
      <c r="F74" s="2" t="s">
        <v>306</v>
      </c>
      <c r="G74" s="2" t="s">
        <v>60</v>
      </c>
      <c r="H74" s="2"/>
      <c r="I74" s="16" t="s">
        <v>88</v>
      </c>
      <c r="J74" s="27" t="s">
        <v>88</v>
      </c>
      <c r="K74" s="2" t="s">
        <v>88</v>
      </c>
      <c r="L74" s="11" t="s">
        <v>40</v>
      </c>
      <c r="M74" s="2" t="s">
        <v>475</v>
      </c>
    </row>
    <row r="75" spans="1:16" ht="92.45" hidden="1">
      <c r="A75" s="7" t="s">
        <v>23</v>
      </c>
      <c r="B75" s="2" t="s">
        <v>476</v>
      </c>
      <c r="C75" s="2" t="s">
        <v>68</v>
      </c>
      <c r="D75" s="2" t="s">
        <v>477</v>
      </c>
      <c r="E75" s="2" t="s">
        <v>478</v>
      </c>
      <c r="F75" s="2" t="s">
        <v>479</v>
      </c>
      <c r="G75" s="2" t="s">
        <v>480</v>
      </c>
      <c r="H75" s="2"/>
      <c r="I75" s="16" t="s">
        <v>88</v>
      </c>
      <c r="J75" s="27" t="s">
        <v>88</v>
      </c>
      <c r="K75" s="2" t="s">
        <v>236</v>
      </c>
      <c r="L75" s="11" t="s">
        <v>40</v>
      </c>
      <c r="M75" s="2" t="s">
        <v>481</v>
      </c>
    </row>
    <row r="76" spans="1:16" ht="39.6" hidden="1">
      <c r="A76" s="7" t="s">
        <v>23</v>
      </c>
      <c r="B76" s="2" t="s">
        <v>476</v>
      </c>
      <c r="C76" s="2" t="s">
        <v>220</v>
      </c>
      <c r="D76" s="2" t="s">
        <v>482</v>
      </c>
      <c r="E76" s="2" t="s">
        <v>483</v>
      </c>
      <c r="F76" s="2" t="s">
        <v>223</v>
      </c>
      <c r="G76" s="2" t="s">
        <v>480</v>
      </c>
      <c r="H76" s="2"/>
      <c r="I76" s="16" t="s">
        <v>88</v>
      </c>
      <c r="J76" s="27" t="s">
        <v>88</v>
      </c>
      <c r="K76" s="2" t="s">
        <v>88</v>
      </c>
      <c r="L76" s="11" t="s">
        <v>40</v>
      </c>
      <c r="M76" s="2" t="s">
        <v>484</v>
      </c>
    </row>
    <row r="77" spans="1:16" ht="79.150000000000006" hidden="1">
      <c r="A77" s="7" t="s">
        <v>23</v>
      </c>
      <c r="B77" s="2" t="s">
        <v>476</v>
      </c>
      <c r="C77" s="2" t="s">
        <v>283</v>
      </c>
      <c r="D77" s="2" t="s">
        <v>485</v>
      </c>
      <c r="E77" s="2" t="s">
        <v>486</v>
      </c>
      <c r="F77" s="2" t="s">
        <v>487</v>
      </c>
      <c r="G77" s="2" t="s">
        <v>480</v>
      </c>
      <c r="H77" s="2"/>
      <c r="I77" s="16" t="s">
        <v>88</v>
      </c>
      <c r="J77" s="27" t="s">
        <v>88</v>
      </c>
      <c r="K77" s="2" t="s">
        <v>236</v>
      </c>
      <c r="L77" s="11" t="s">
        <v>40</v>
      </c>
      <c r="M77" s="2" t="s">
        <v>488</v>
      </c>
    </row>
    <row r="78" spans="1:16" ht="26.45" hidden="1">
      <c r="A78" s="7" t="s">
        <v>23</v>
      </c>
      <c r="B78" s="2" t="s">
        <v>489</v>
      </c>
      <c r="C78" s="2" t="s">
        <v>283</v>
      </c>
      <c r="D78" s="2" t="s">
        <v>490</v>
      </c>
      <c r="E78" s="2" t="s">
        <v>491</v>
      </c>
      <c r="F78" s="2" t="s">
        <v>492</v>
      </c>
      <c r="G78" s="2" t="s">
        <v>493</v>
      </c>
      <c r="H78" s="2"/>
      <c r="I78" s="16" t="s">
        <v>88</v>
      </c>
      <c r="J78" s="27" t="s">
        <v>88</v>
      </c>
      <c r="K78" s="2" t="s">
        <v>88</v>
      </c>
      <c r="L78" s="11" t="s">
        <v>40</v>
      </c>
      <c r="M78" s="2" t="s">
        <v>494</v>
      </c>
    </row>
    <row r="79" spans="1:16" ht="52.9" hidden="1">
      <c r="A79" s="7" t="s">
        <v>23</v>
      </c>
      <c r="B79" s="2" t="s">
        <v>489</v>
      </c>
      <c r="C79" s="2" t="s">
        <v>283</v>
      </c>
      <c r="D79" s="2" t="s">
        <v>495</v>
      </c>
      <c r="E79" s="2" t="s">
        <v>496</v>
      </c>
      <c r="F79" s="2" t="s">
        <v>497</v>
      </c>
      <c r="G79" s="2" t="s">
        <v>493</v>
      </c>
      <c r="H79" s="2"/>
      <c r="I79" s="16" t="s">
        <v>88</v>
      </c>
      <c r="J79" s="27" t="s">
        <v>88</v>
      </c>
      <c r="K79" s="2" t="s">
        <v>88</v>
      </c>
      <c r="L79" s="11" t="s">
        <v>40</v>
      </c>
      <c r="M79" s="2" t="s">
        <v>498</v>
      </c>
    </row>
    <row r="80" spans="1:16" ht="26.45" hidden="1">
      <c r="A80" s="63" t="s">
        <v>23</v>
      </c>
      <c r="B80" s="2" t="s">
        <v>179</v>
      </c>
      <c r="C80" s="64" t="s">
        <v>68</v>
      </c>
      <c r="D80" s="64" t="s">
        <v>499</v>
      </c>
      <c r="I80" s="65" t="s">
        <v>88</v>
      </c>
      <c r="J80" t="s">
        <v>500</v>
      </c>
      <c r="L80" t="s">
        <v>501</v>
      </c>
    </row>
    <row r="81" spans="1:12" hidden="1">
      <c r="A81" s="63" t="s">
        <v>23</v>
      </c>
      <c r="B81" s="2" t="s">
        <v>179</v>
      </c>
      <c r="C81" s="64" t="s">
        <v>68</v>
      </c>
      <c r="D81" s="64" t="s">
        <v>502</v>
      </c>
      <c r="I81" s="65" t="s">
        <v>88</v>
      </c>
      <c r="J81" t="s">
        <v>401</v>
      </c>
      <c r="L81" t="s">
        <v>501</v>
      </c>
    </row>
    <row r="82" spans="1:12" hidden="1">
      <c r="A82" s="36" t="s">
        <v>22</v>
      </c>
      <c r="B82" s="53" t="s">
        <v>55</v>
      </c>
      <c r="C82" s="37" t="s">
        <v>308</v>
      </c>
      <c r="D82" s="37" t="s">
        <v>503</v>
      </c>
      <c r="J82" s="66" t="s">
        <v>504</v>
      </c>
    </row>
    <row r="83" spans="1:12">
      <c r="A83" s="4"/>
      <c r="B83" s="2"/>
      <c r="C83" s="2"/>
      <c r="D83" s="2"/>
    </row>
    <row r="84" spans="1:12">
      <c r="A84" s="39" t="s">
        <v>23</v>
      </c>
      <c r="B84" s="37" t="s">
        <v>269</v>
      </c>
      <c r="C84" s="37"/>
      <c r="D84" s="37" t="s">
        <v>505</v>
      </c>
      <c r="J84" s="66" t="s">
        <v>355</v>
      </c>
    </row>
    <row r="85" spans="1:12">
      <c r="A85" s="7" t="s">
        <v>23</v>
      </c>
      <c r="B85" s="2" t="s">
        <v>117</v>
      </c>
      <c r="C85" s="2" t="s">
        <v>68</v>
      </c>
      <c r="D85" s="2" t="s">
        <v>506</v>
      </c>
      <c r="J85" s="66" t="s">
        <v>507</v>
      </c>
    </row>
    <row r="86" spans="1:12" ht="26.45">
      <c r="A86" s="7" t="s">
        <v>23</v>
      </c>
      <c r="B86" s="2" t="s">
        <v>117</v>
      </c>
      <c r="C86" s="2" t="s">
        <v>68</v>
      </c>
      <c r="D86" s="2" t="s">
        <v>508</v>
      </c>
      <c r="J86" s="66" t="s">
        <v>177</v>
      </c>
    </row>
    <row r="87" spans="1:12" ht="26.45">
      <c r="A87" s="7" t="s">
        <v>23</v>
      </c>
      <c r="B87" s="2" t="s">
        <v>117</v>
      </c>
      <c r="C87" s="2" t="s">
        <v>68</v>
      </c>
      <c r="D87" s="2" t="s">
        <v>509</v>
      </c>
      <c r="J87" s="66" t="s">
        <v>510</v>
      </c>
    </row>
  </sheetData>
  <autoFilter ref="A1:Q82" xr:uid="{00000000-0001-0000-0100-000000000000}">
    <filterColumn colId="0">
      <filters>
        <filter val="Advisor"/>
      </filters>
    </filterColumn>
    <filterColumn colId="1">
      <filters>
        <filter val="Advisor Home Dashboard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"/>
  <sheetViews>
    <sheetView zoomScaleNormal="100" workbookViewId="0">
      <pane ySplit="1" topLeftCell="A2" activePane="bottomLeft" state="frozen"/>
      <selection pane="bottomLeft" activeCell="O2" sqref="O2:P12"/>
    </sheetView>
  </sheetViews>
  <sheetFormatPr defaultColWidth="8.7109375" defaultRowHeight="14.45"/>
  <cols>
    <col min="1" max="1" width="4" customWidth="1"/>
    <col min="2" max="2" width="12" customWidth="1"/>
    <col min="3" max="3" width="34" customWidth="1"/>
    <col min="4" max="4" width="30" customWidth="1"/>
    <col min="5" max="5" width="20" customWidth="1"/>
    <col min="6" max="6" width="26" customWidth="1"/>
    <col min="7" max="7" width="7" customWidth="1"/>
    <col min="8" max="9" width="8" customWidth="1"/>
    <col min="10" max="10" width="11" customWidth="1"/>
    <col min="11" max="11" width="12" customWidth="1"/>
    <col min="12" max="12" width="11" customWidth="1"/>
    <col min="13" max="13" width="44" customWidth="1"/>
    <col min="14" max="14" width="9" customWidth="1"/>
    <col min="15" max="15" width="17" customWidth="1"/>
    <col min="16" max="16" width="15" customWidth="1"/>
    <col min="17" max="17" width="10" customWidth="1"/>
    <col min="18" max="18" width="9" customWidth="1"/>
  </cols>
  <sheetData>
    <row r="1" spans="1:18" ht="39.6">
      <c r="A1" s="15" t="s">
        <v>511</v>
      </c>
      <c r="B1" s="15" t="s">
        <v>3</v>
      </c>
      <c r="C1" s="15" t="s">
        <v>41</v>
      </c>
      <c r="D1" s="15" t="s">
        <v>512</v>
      </c>
      <c r="E1" s="15" t="s">
        <v>513</v>
      </c>
      <c r="F1" s="15" t="s">
        <v>514</v>
      </c>
      <c r="G1" s="15" t="s">
        <v>515</v>
      </c>
      <c r="H1" s="15" t="s">
        <v>516</v>
      </c>
      <c r="I1" s="15" t="s">
        <v>517</v>
      </c>
      <c r="J1" s="15" t="s">
        <v>518</v>
      </c>
      <c r="K1" s="15" t="s">
        <v>519</v>
      </c>
      <c r="L1" s="15" t="s">
        <v>8</v>
      </c>
      <c r="M1" s="15" t="s">
        <v>520</v>
      </c>
      <c r="N1" s="15" t="s">
        <v>25</v>
      </c>
      <c r="O1" s="15" t="s">
        <v>27</v>
      </c>
      <c r="P1" s="15" t="s">
        <v>29</v>
      </c>
      <c r="Q1" s="15" t="s">
        <v>521</v>
      </c>
      <c r="R1" s="15" t="s">
        <v>522</v>
      </c>
    </row>
    <row r="2" spans="1:18" ht="26.45">
      <c r="A2" s="17">
        <v>1</v>
      </c>
      <c r="B2" s="4" t="s">
        <v>22</v>
      </c>
      <c r="C2" s="16" t="s">
        <v>55</v>
      </c>
      <c r="D2" s="2" t="s">
        <v>523</v>
      </c>
      <c r="E2" s="2" t="s">
        <v>524</v>
      </c>
      <c r="F2" s="2" t="s">
        <v>525</v>
      </c>
      <c r="G2" s="5">
        <f>COUNTIFS('Component Detail'!$B:$B,$C2,'Component Detail'!$C:$C,"KPI")</f>
        <v>5</v>
      </c>
      <c r="H2" s="5">
        <f>COUNTIFS('Component Detail'!$B:$B,$C2,'Component Detail'!$C:$C,"Chart")</f>
        <v>3</v>
      </c>
      <c r="I2" s="5">
        <f>COUNTIFS('Component Detail'!$B:$B,$C2,'Component Detail'!$C:$C,"Table")</f>
        <v>2</v>
      </c>
      <c r="J2" s="5">
        <f>COUNTIFS('Component Detail'!$B:$B,$C2,'Component Detail'!$C:$C,"Panel")+COUNTIFS('Component Detail'!$B:$B,$C2,'Component Detail'!$C:$C,"Widget")</f>
        <v>2</v>
      </c>
      <c r="K2" s="5">
        <f>COUNTIFS('Component Detail'!$B:$B,$C2,'Component Detail'!$C:$C,"Filter/Control")+COUNTIFS('Component Detail'!$B:$B,$C2,'Component Detail'!$C:$C,"Section")</f>
        <v>0</v>
      </c>
      <c r="L2" s="6">
        <f>COUNTIF('Component Detail'!$B:$B,$C2)</f>
        <v>12</v>
      </c>
      <c r="M2" s="2" t="s">
        <v>526</v>
      </c>
      <c r="N2" s="18">
        <f>COUNTIFS('Component Detail'!$B:$B,$C2,'Component Detail'!$L:$L,"1 - Done")</f>
        <v>7</v>
      </c>
      <c r="O2" s="19">
        <f>COUNTIFS('Component Detail'!$B:$B,$C2,'Component Detail'!$L:$L,"2 - Logic can be driven")</f>
        <v>0</v>
      </c>
      <c r="P2" s="20">
        <f>COUNTIFS('Component Detail'!$B:$B,$C2,'Component Detail'!$L:$L,"3 - Can't be achieved")</f>
        <v>0</v>
      </c>
      <c r="Q2" s="21">
        <f>COUNTIFS('Component Detail'!$B:$B,$C2,'Component Detail'!$L:$L,"N/A - UI/placeholder")</f>
        <v>0</v>
      </c>
      <c r="R2" s="22">
        <f t="shared" ref="R2:R12" si="0">IFERROR(N2/(N2+O2+P2),0)</f>
        <v>1</v>
      </c>
    </row>
    <row r="3" spans="1:18" ht="26.45">
      <c r="A3" s="17">
        <v>2</v>
      </c>
      <c r="B3" s="4" t="s">
        <v>22</v>
      </c>
      <c r="C3" s="16" t="s">
        <v>82</v>
      </c>
      <c r="D3" s="2" t="s">
        <v>527</v>
      </c>
      <c r="E3" s="2" t="s">
        <v>528</v>
      </c>
      <c r="F3" s="2" t="s">
        <v>529</v>
      </c>
      <c r="G3" s="5">
        <f>COUNTIFS('Component Detail'!$B:$B,$C3,'Component Detail'!$C:$C,"KPI")</f>
        <v>4</v>
      </c>
      <c r="H3" s="5">
        <f>COUNTIFS('Component Detail'!$B:$B,$C3,'Component Detail'!$C:$C,"Chart")</f>
        <v>5</v>
      </c>
      <c r="I3" s="5">
        <f>COUNTIFS('Component Detail'!$B:$B,$C3,'Component Detail'!$C:$C,"Table")</f>
        <v>1</v>
      </c>
      <c r="J3" s="5">
        <f>COUNTIFS('Component Detail'!$B:$B,$C3,'Component Detail'!$C:$C,"Panel")+COUNTIFS('Component Detail'!$B:$B,$C3,'Component Detail'!$C:$C,"Widget")</f>
        <v>0</v>
      </c>
      <c r="K3" s="5">
        <f>COUNTIFS('Component Detail'!$B:$B,$C3,'Component Detail'!$C:$C,"Filter/Control")+COUNTIFS('Component Detail'!$B:$B,$C3,'Component Detail'!$C:$C,"Section")</f>
        <v>0</v>
      </c>
      <c r="L3" s="6">
        <f>COUNTIF('Component Detail'!$B:$B,$C3)</f>
        <v>10</v>
      </c>
      <c r="M3" s="2" t="s">
        <v>530</v>
      </c>
      <c r="N3" s="18">
        <f>COUNTIFS('Component Detail'!$B:$B,$C3,'Component Detail'!$L:$L,"1 - Done")</f>
        <v>6</v>
      </c>
      <c r="O3" s="19">
        <f>COUNTIFS('Component Detail'!$B:$B,$C3,'Component Detail'!$L:$L,"2 - Logic can be driven")</f>
        <v>0</v>
      </c>
      <c r="P3" s="20">
        <f>COUNTIFS('Component Detail'!$B:$B,$C3,'Component Detail'!$L:$L,"3 - Can't be achieved")</f>
        <v>0</v>
      </c>
      <c r="Q3" s="21">
        <f>COUNTIFS('Component Detail'!$B:$B,$C3,'Component Detail'!$L:$L,"N/A - UI/placeholder")</f>
        <v>0</v>
      </c>
      <c r="R3" s="22">
        <f t="shared" si="0"/>
        <v>1</v>
      </c>
    </row>
    <row r="4" spans="1:18" ht="26.45">
      <c r="A4" s="17">
        <v>3</v>
      </c>
      <c r="B4" s="4" t="s">
        <v>22</v>
      </c>
      <c r="C4" s="16" t="s">
        <v>195</v>
      </c>
      <c r="D4" s="2" t="s">
        <v>531</v>
      </c>
      <c r="E4" s="2" t="s">
        <v>532</v>
      </c>
      <c r="F4" s="2" t="s">
        <v>525</v>
      </c>
      <c r="G4" s="5">
        <f>COUNTIFS('Component Detail'!$B:$B,$C4,'Component Detail'!$C:$C,"KPI")</f>
        <v>4</v>
      </c>
      <c r="H4" s="5">
        <f>COUNTIFS('Component Detail'!$B:$B,$C4,'Component Detail'!$C:$C,"Chart")</f>
        <v>0</v>
      </c>
      <c r="I4" s="5">
        <f>COUNTIFS('Component Detail'!$B:$B,$C4,'Component Detail'!$C:$C,"Table")</f>
        <v>1</v>
      </c>
      <c r="J4" s="5">
        <f>COUNTIFS('Component Detail'!$B:$B,$C4,'Component Detail'!$C:$C,"Panel")+COUNTIFS('Component Detail'!$B:$B,$C4,'Component Detail'!$C:$C,"Widget")</f>
        <v>1</v>
      </c>
      <c r="K4" s="5">
        <f>COUNTIFS('Component Detail'!$B:$B,$C4,'Component Detail'!$C:$C,"Filter/Control")+COUNTIFS('Component Detail'!$B:$B,$C4,'Component Detail'!$C:$C,"Section")</f>
        <v>1</v>
      </c>
      <c r="L4" s="6">
        <f>COUNTIF('Component Detail'!$B:$B,$C4)</f>
        <v>7</v>
      </c>
      <c r="M4" s="2" t="s">
        <v>533</v>
      </c>
      <c r="N4" s="18">
        <f>COUNTIFS('Component Detail'!$B:$B,$C4,'Component Detail'!$L:$L,"1 - Done")</f>
        <v>0</v>
      </c>
      <c r="O4" s="19">
        <f>COUNTIFS('Component Detail'!$B:$B,$C4,'Component Detail'!$L:$L,"2 - Logic can be driven")</f>
        <v>0</v>
      </c>
      <c r="P4" s="20">
        <f>COUNTIFS('Component Detail'!$B:$B,$C4,'Component Detail'!$L:$L,"3 - Can't be achieved")</f>
        <v>0</v>
      </c>
      <c r="Q4" s="21">
        <f>COUNTIFS('Component Detail'!$B:$B,$C4,'Component Detail'!$L:$L,"N/A - UI/placeholder")</f>
        <v>0</v>
      </c>
      <c r="R4" s="22">
        <f t="shared" si="0"/>
        <v>0</v>
      </c>
    </row>
    <row r="5" spans="1:18" ht="26.45">
      <c r="A5" s="23">
        <v>4</v>
      </c>
      <c r="B5" s="7" t="s">
        <v>23</v>
      </c>
      <c r="C5" s="16" t="s">
        <v>117</v>
      </c>
      <c r="D5" s="2" t="s">
        <v>534</v>
      </c>
      <c r="E5" s="2" t="s">
        <v>535</v>
      </c>
      <c r="F5" s="2" t="s">
        <v>536</v>
      </c>
      <c r="G5" s="5">
        <f>COUNTIFS('Component Detail'!$B:$B,$C5,'Component Detail'!$C:$C,"KPI")</f>
        <v>7</v>
      </c>
      <c r="H5" s="5">
        <f>COUNTIFS('Component Detail'!$B:$B,$C5,'Component Detail'!$C:$C,"Chart")</f>
        <v>2</v>
      </c>
      <c r="I5" s="5">
        <f>COUNTIFS('Component Detail'!$B:$B,$C5,'Component Detail'!$C:$C,"Table")</f>
        <v>1</v>
      </c>
      <c r="J5" s="5">
        <f>COUNTIFS('Component Detail'!$B:$B,$C5,'Component Detail'!$C:$C,"Panel")+COUNTIFS('Component Detail'!$B:$B,$C5,'Component Detail'!$C:$C,"Widget")</f>
        <v>8</v>
      </c>
      <c r="K5" s="5">
        <f>COUNTIFS('Component Detail'!$B:$B,$C5,'Component Detail'!$C:$C,"Filter/Control")+COUNTIFS('Component Detail'!$B:$B,$C5,'Component Detail'!$C:$C,"Section")</f>
        <v>0</v>
      </c>
      <c r="L5" s="6">
        <f>COUNTIF('Component Detail'!$B:$B,$C5)</f>
        <v>18</v>
      </c>
      <c r="M5" s="2" t="s">
        <v>537</v>
      </c>
      <c r="N5" s="18">
        <f>COUNTIFS('Component Detail'!$B:$B,$C5,'Component Detail'!$L:$L,"1 - Done")</f>
        <v>4</v>
      </c>
      <c r="O5" s="19">
        <f>COUNTIFS('Component Detail'!$B:$B,$C5,'Component Detail'!$L:$L,"2 - Logic can be driven")</f>
        <v>0</v>
      </c>
      <c r="P5" s="20">
        <f>COUNTIFS('Component Detail'!$B:$B,$C5,'Component Detail'!$L:$L,"3 - Can't be achieved")</f>
        <v>0</v>
      </c>
      <c r="Q5" s="21">
        <f>COUNTIFS('Component Detail'!$B:$B,$C5,'Component Detail'!$L:$L,"N/A - UI/placeholder")</f>
        <v>0</v>
      </c>
      <c r="R5" s="22">
        <f t="shared" si="0"/>
        <v>1</v>
      </c>
    </row>
    <row r="6" spans="1:18" ht="26.45">
      <c r="A6" s="23">
        <v>5</v>
      </c>
      <c r="B6" s="7" t="s">
        <v>23</v>
      </c>
      <c r="C6" s="16" t="s">
        <v>153</v>
      </c>
      <c r="D6" s="2" t="s">
        <v>538</v>
      </c>
      <c r="E6" s="2" t="s">
        <v>539</v>
      </c>
      <c r="F6" s="2" t="s">
        <v>540</v>
      </c>
      <c r="G6" s="5">
        <f>COUNTIFS('Component Detail'!$B:$B,$C6,'Component Detail'!$C:$C,"KPI")</f>
        <v>2</v>
      </c>
      <c r="H6" s="5">
        <f>COUNTIFS('Component Detail'!$B:$B,$C6,'Component Detail'!$C:$C,"Chart")</f>
        <v>3</v>
      </c>
      <c r="I6" s="5">
        <f>COUNTIFS('Component Detail'!$B:$B,$C6,'Component Detail'!$C:$C,"Table")</f>
        <v>1</v>
      </c>
      <c r="J6" s="5">
        <f>COUNTIFS('Component Detail'!$B:$B,$C6,'Component Detail'!$C:$C,"Panel")+COUNTIFS('Component Detail'!$B:$B,$C6,'Component Detail'!$C:$C,"Widget")</f>
        <v>0</v>
      </c>
      <c r="K6" s="5">
        <f>COUNTIFS('Component Detail'!$B:$B,$C6,'Component Detail'!$C:$C,"Filter/Control")+COUNTIFS('Component Detail'!$B:$B,$C6,'Component Detail'!$C:$C,"Section")</f>
        <v>1</v>
      </c>
      <c r="L6" s="6">
        <f>COUNTIF('Component Detail'!$B:$B,$C6)</f>
        <v>7</v>
      </c>
      <c r="M6" s="2" t="s">
        <v>541</v>
      </c>
      <c r="N6" s="18">
        <f>COUNTIFS('Component Detail'!$B:$B,$C6,'Component Detail'!$L:$L,"1 - Done")</f>
        <v>1</v>
      </c>
      <c r="O6" s="19">
        <f>COUNTIFS('Component Detail'!$B:$B,$C6,'Component Detail'!$L:$L,"2 - Logic can be driven")</f>
        <v>0</v>
      </c>
      <c r="P6" s="20">
        <f>COUNTIFS('Component Detail'!$B:$B,$C6,'Component Detail'!$L:$L,"3 - Can't be achieved")</f>
        <v>0</v>
      </c>
      <c r="Q6" s="21">
        <f>COUNTIFS('Component Detail'!$B:$B,$C6,'Component Detail'!$L:$L,"N/A - UI/placeholder")</f>
        <v>0</v>
      </c>
      <c r="R6" s="22">
        <f t="shared" si="0"/>
        <v>1</v>
      </c>
    </row>
    <row r="7" spans="1:18" ht="26.45">
      <c r="A7" s="23">
        <v>6</v>
      </c>
      <c r="B7" s="7" t="s">
        <v>23</v>
      </c>
      <c r="C7" s="16" t="s">
        <v>269</v>
      </c>
      <c r="D7" s="2" t="s">
        <v>542</v>
      </c>
      <c r="E7" s="2" t="s">
        <v>543</v>
      </c>
      <c r="F7" s="2" t="s">
        <v>60</v>
      </c>
      <c r="G7" s="5">
        <f>COUNTIFS('Component Detail'!$B:$B,$C7,'Component Detail'!$C:$C,"KPI")</f>
        <v>4</v>
      </c>
      <c r="H7" s="5">
        <f>COUNTIFS('Component Detail'!$B:$B,$C7,'Component Detail'!$C:$C,"Chart")</f>
        <v>2</v>
      </c>
      <c r="I7" s="5">
        <f>COUNTIFS('Component Detail'!$B:$B,$C7,'Component Detail'!$C:$C,"Table")</f>
        <v>3</v>
      </c>
      <c r="J7" s="5">
        <f>COUNTIFS('Component Detail'!$B:$B,$C7,'Component Detail'!$C:$C,"Panel")+COUNTIFS('Component Detail'!$B:$B,$C7,'Component Detail'!$C:$C,"Widget")</f>
        <v>0</v>
      </c>
      <c r="K7" s="5">
        <f>COUNTIFS('Component Detail'!$B:$B,$C7,'Component Detail'!$C:$C,"Filter/Control")+COUNTIFS('Component Detail'!$B:$B,$C7,'Component Detail'!$C:$C,"Section")</f>
        <v>2</v>
      </c>
      <c r="L7" s="6">
        <f>COUNTIF('Component Detail'!$B:$B,$C7)</f>
        <v>12</v>
      </c>
      <c r="M7" s="2" t="s">
        <v>544</v>
      </c>
      <c r="N7" s="18">
        <f>COUNTIFS('Component Detail'!$B:$B,$C7,'Component Detail'!$L:$L,"1 - Done")</f>
        <v>4</v>
      </c>
      <c r="O7" s="19">
        <f>COUNTIFS('Component Detail'!$B:$B,$C7,'Component Detail'!$L:$L,"2 - Logic can be driven")</f>
        <v>0</v>
      </c>
      <c r="P7" s="20">
        <f>COUNTIFS('Component Detail'!$B:$B,$C7,'Component Detail'!$L:$L,"3 - Can't be achieved")</f>
        <v>0</v>
      </c>
      <c r="Q7" s="21">
        <f>COUNTIFS('Component Detail'!$B:$B,$C7,'Component Detail'!$L:$L,"N/A - UI/placeholder")</f>
        <v>0</v>
      </c>
      <c r="R7" s="22">
        <f t="shared" si="0"/>
        <v>1</v>
      </c>
    </row>
    <row r="8" spans="1:18" ht="26.45">
      <c r="A8" s="23">
        <v>7</v>
      </c>
      <c r="B8" s="7" t="s">
        <v>23</v>
      </c>
      <c r="C8" s="16" t="s">
        <v>179</v>
      </c>
      <c r="D8" s="2" t="s">
        <v>545</v>
      </c>
      <c r="E8" s="2" t="s">
        <v>546</v>
      </c>
      <c r="F8" s="2" t="s">
        <v>547</v>
      </c>
      <c r="G8" s="5">
        <f>COUNTIFS('Component Detail'!$B:$B,$C8,'Component Detail'!$C:$C,"KPI")</f>
        <v>6</v>
      </c>
      <c r="H8" s="5">
        <f>COUNTIFS('Component Detail'!$B:$B,$C8,'Component Detail'!$C:$C,"Chart")</f>
        <v>3</v>
      </c>
      <c r="I8" s="5">
        <f>COUNTIFS('Component Detail'!$B:$B,$C8,'Component Detail'!$C:$C,"Table")</f>
        <v>2</v>
      </c>
      <c r="J8" s="5">
        <f>COUNTIFS('Component Detail'!$B:$B,$C8,'Component Detail'!$C:$C,"Panel")+COUNTIFS('Component Detail'!$B:$B,$C8,'Component Detail'!$C:$C,"Widget")</f>
        <v>0</v>
      </c>
      <c r="K8" s="5">
        <f>COUNTIFS('Component Detail'!$B:$B,$C8,'Component Detail'!$C:$C,"Filter/Control")+COUNTIFS('Component Detail'!$B:$B,$C8,'Component Detail'!$C:$C,"Section")</f>
        <v>1</v>
      </c>
      <c r="L8" s="6">
        <f>COUNTIF('Component Detail'!$B:$B,$C8)</f>
        <v>12</v>
      </c>
      <c r="M8" s="2" t="s">
        <v>548</v>
      </c>
      <c r="N8" s="18">
        <f>COUNTIFS('Component Detail'!$B:$B,$C8,'Component Detail'!$L:$L,"1 - Done")</f>
        <v>3</v>
      </c>
      <c r="O8" s="19">
        <f>COUNTIFS('Component Detail'!$B:$B,$C8,'Component Detail'!$L:$L,"2 - Logic can be driven")</f>
        <v>1</v>
      </c>
      <c r="P8" s="20">
        <f>COUNTIFS('Component Detail'!$B:$B,$C8,'Component Detail'!$L:$L,"3 - Can't be achieved")</f>
        <v>0</v>
      </c>
      <c r="Q8" s="21">
        <f>COUNTIFS('Component Detail'!$B:$B,$C8,'Component Detail'!$L:$L,"N/A - UI/placeholder")</f>
        <v>0</v>
      </c>
      <c r="R8" s="22">
        <f t="shared" si="0"/>
        <v>0.75</v>
      </c>
    </row>
    <row r="9" spans="1:18" ht="26.45">
      <c r="A9" s="23">
        <v>8</v>
      </c>
      <c r="B9" s="7" t="s">
        <v>23</v>
      </c>
      <c r="C9" s="16" t="s">
        <v>470</v>
      </c>
      <c r="D9" s="2" t="s">
        <v>549</v>
      </c>
      <c r="E9" s="2" t="s">
        <v>550</v>
      </c>
      <c r="F9" s="2" t="s">
        <v>551</v>
      </c>
      <c r="G9" s="5">
        <f>COUNTIFS('Component Detail'!$B:$B,$C9,'Component Detail'!$C:$C,"KPI")</f>
        <v>0</v>
      </c>
      <c r="H9" s="5">
        <f>COUNTIFS('Component Detail'!$B:$B,$C9,'Component Detail'!$C:$C,"Chart")</f>
        <v>0</v>
      </c>
      <c r="I9" s="5">
        <f>COUNTIFS('Component Detail'!$B:$B,$C9,'Component Detail'!$C:$C,"Table")</f>
        <v>0</v>
      </c>
      <c r="J9" s="5">
        <f>COUNTIFS('Component Detail'!$B:$B,$C9,'Component Detail'!$C:$C,"Panel")+COUNTIFS('Component Detail'!$B:$B,$C9,'Component Detail'!$C:$C,"Widget")</f>
        <v>2</v>
      </c>
      <c r="K9" s="5">
        <f>COUNTIFS('Component Detail'!$B:$B,$C9,'Component Detail'!$C:$C,"Filter/Control")+COUNTIFS('Component Detail'!$B:$B,$C9,'Component Detail'!$C:$C,"Section")</f>
        <v>0</v>
      </c>
      <c r="L9" s="6">
        <f>COUNTIF('Component Detail'!$B:$B,$C9)</f>
        <v>2</v>
      </c>
      <c r="M9" s="2" t="s">
        <v>552</v>
      </c>
      <c r="N9" s="18">
        <f>COUNTIFS('Component Detail'!$B:$B,$C9,'Component Detail'!$L:$L,"1 - Done")</f>
        <v>0</v>
      </c>
      <c r="O9" s="19">
        <f>COUNTIFS('Component Detail'!$B:$B,$C9,'Component Detail'!$L:$L,"2 - Logic can be driven")</f>
        <v>0</v>
      </c>
      <c r="P9" s="20">
        <f>COUNTIFS('Component Detail'!$B:$B,$C9,'Component Detail'!$L:$L,"3 - Can't be achieved")</f>
        <v>0</v>
      </c>
      <c r="Q9" s="21">
        <f>COUNTIFS('Component Detail'!$B:$B,$C9,'Component Detail'!$L:$L,"N/A - UI/placeholder")</f>
        <v>0</v>
      </c>
      <c r="R9" s="22">
        <f t="shared" si="0"/>
        <v>0</v>
      </c>
    </row>
    <row r="10" spans="1:18">
      <c r="A10" s="23">
        <v>9</v>
      </c>
      <c r="B10" s="7" t="s">
        <v>23</v>
      </c>
      <c r="C10" s="16" t="s">
        <v>476</v>
      </c>
      <c r="D10" s="2" t="s">
        <v>553</v>
      </c>
      <c r="E10" s="2" t="s">
        <v>554</v>
      </c>
      <c r="F10" s="2" t="s">
        <v>480</v>
      </c>
      <c r="G10" s="5">
        <f>COUNTIFS('Component Detail'!$B:$B,$C10,'Component Detail'!$C:$C,"KPI")</f>
        <v>1</v>
      </c>
      <c r="H10" s="5">
        <f>COUNTIFS('Component Detail'!$B:$B,$C10,'Component Detail'!$C:$C,"Chart")</f>
        <v>0</v>
      </c>
      <c r="I10" s="5">
        <f>COUNTIFS('Component Detail'!$B:$B,$C10,'Component Detail'!$C:$C,"Table")</f>
        <v>0</v>
      </c>
      <c r="J10" s="5">
        <f>COUNTIFS('Component Detail'!$B:$B,$C10,'Component Detail'!$C:$C,"Panel")+COUNTIFS('Component Detail'!$B:$B,$C10,'Component Detail'!$C:$C,"Widget")</f>
        <v>0</v>
      </c>
      <c r="K10" s="5">
        <f>COUNTIFS('Component Detail'!$B:$B,$C10,'Component Detail'!$C:$C,"Filter/Control")+COUNTIFS('Component Detail'!$B:$B,$C10,'Component Detail'!$C:$C,"Section")</f>
        <v>2</v>
      </c>
      <c r="L10" s="6">
        <f>COUNTIF('Component Detail'!$B:$B,$C10)</f>
        <v>3</v>
      </c>
      <c r="M10" s="2" t="s">
        <v>555</v>
      </c>
      <c r="N10" s="18">
        <f>COUNTIFS('Component Detail'!$B:$B,$C10,'Component Detail'!$L:$L,"1 - Done")</f>
        <v>0</v>
      </c>
      <c r="O10" s="19">
        <f>COUNTIFS('Component Detail'!$B:$B,$C10,'Component Detail'!$L:$L,"2 - Logic can be driven")</f>
        <v>0</v>
      </c>
      <c r="P10" s="20">
        <f>COUNTIFS('Component Detail'!$B:$B,$C10,'Component Detail'!$L:$L,"3 - Can't be achieved")</f>
        <v>0</v>
      </c>
      <c r="Q10" s="21">
        <f>COUNTIFS('Component Detail'!$B:$B,$C10,'Component Detail'!$L:$L,"N/A - UI/placeholder")</f>
        <v>0</v>
      </c>
      <c r="R10" s="22">
        <f t="shared" si="0"/>
        <v>0</v>
      </c>
    </row>
    <row r="11" spans="1:18">
      <c r="A11" s="23">
        <v>10</v>
      </c>
      <c r="B11" s="7" t="s">
        <v>23</v>
      </c>
      <c r="C11" s="16" t="s">
        <v>489</v>
      </c>
      <c r="D11" s="2" t="s">
        <v>553</v>
      </c>
      <c r="E11" s="2" t="s">
        <v>556</v>
      </c>
      <c r="F11" s="2" t="s">
        <v>493</v>
      </c>
      <c r="G11" s="5">
        <f>COUNTIFS('Component Detail'!$B:$B,$C11,'Component Detail'!$C:$C,"KPI")</f>
        <v>0</v>
      </c>
      <c r="H11" s="5">
        <f>COUNTIFS('Component Detail'!$B:$B,$C11,'Component Detail'!$C:$C,"Chart")</f>
        <v>0</v>
      </c>
      <c r="I11" s="5">
        <f>COUNTIFS('Component Detail'!$B:$B,$C11,'Component Detail'!$C:$C,"Table")</f>
        <v>0</v>
      </c>
      <c r="J11" s="5">
        <f>COUNTIFS('Component Detail'!$B:$B,$C11,'Component Detail'!$C:$C,"Panel")+COUNTIFS('Component Detail'!$B:$B,$C11,'Component Detail'!$C:$C,"Widget")</f>
        <v>0</v>
      </c>
      <c r="K11" s="5">
        <f>COUNTIFS('Component Detail'!$B:$B,$C11,'Component Detail'!$C:$C,"Filter/Control")+COUNTIFS('Component Detail'!$B:$B,$C11,'Component Detail'!$C:$C,"Section")</f>
        <v>2</v>
      </c>
      <c r="L11" s="6">
        <f>COUNTIF('Component Detail'!$B:$B,$C11)</f>
        <v>2</v>
      </c>
      <c r="M11" s="2" t="s">
        <v>557</v>
      </c>
      <c r="N11" s="18">
        <f>COUNTIFS('Component Detail'!$B:$B,$C11,'Component Detail'!$L:$L,"1 - Done")</f>
        <v>0</v>
      </c>
      <c r="O11" s="19">
        <f>COUNTIFS('Component Detail'!$B:$B,$C11,'Component Detail'!$L:$L,"2 - Logic can be driven")</f>
        <v>0</v>
      </c>
      <c r="P11" s="20">
        <f>COUNTIFS('Component Detail'!$B:$B,$C11,'Component Detail'!$L:$L,"3 - Can't be achieved")</f>
        <v>0</v>
      </c>
      <c r="Q11" s="21">
        <f>COUNTIFS('Component Detail'!$B:$B,$C11,'Component Detail'!$L:$L,"N/A - UI/placeholder")</f>
        <v>0</v>
      </c>
      <c r="R11" s="22">
        <f t="shared" si="0"/>
        <v>0</v>
      </c>
    </row>
    <row r="12" spans="1:18">
      <c r="A12" s="14"/>
      <c r="B12" s="14"/>
      <c r="C12" s="8" t="s">
        <v>11</v>
      </c>
      <c r="D12" s="14"/>
      <c r="E12" s="14"/>
      <c r="F12" s="14"/>
      <c r="G12" s="9">
        <f t="shared" ref="G12:L12" si="1">SUM(G2:G11)</f>
        <v>33</v>
      </c>
      <c r="H12" s="9">
        <f t="shared" si="1"/>
        <v>18</v>
      </c>
      <c r="I12" s="9">
        <f t="shared" si="1"/>
        <v>11</v>
      </c>
      <c r="J12" s="9">
        <f t="shared" si="1"/>
        <v>13</v>
      </c>
      <c r="K12" s="9">
        <f t="shared" si="1"/>
        <v>9</v>
      </c>
      <c r="L12" s="9">
        <f t="shared" si="1"/>
        <v>85</v>
      </c>
      <c r="M12" s="14"/>
      <c r="N12" s="9">
        <f>SUM(N2:N11)</f>
        <v>25</v>
      </c>
      <c r="O12" s="9">
        <f>SUM(O2:O11)</f>
        <v>1</v>
      </c>
      <c r="P12" s="9">
        <f>SUM(P2:P11)</f>
        <v>0</v>
      </c>
      <c r="Q12" s="9">
        <f>SUM(Q2:Q11)</f>
        <v>0</v>
      </c>
      <c r="R12" s="24">
        <f t="shared" si="0"/>
        <v>0.96153846153846156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12" customWidth="1"/>
    <col min="2" max="2" width="14" customWidth="1"/>
    <col min="3" max="3" width="10" customWidth="1"/>
    <col min="4" max="4" width="58" customWidth="1"/>
    <col min="5" max="5" width="16" customWidth="1"/>
  </cols>
  <sheetData>
    <row r="1" spans="1:5" ht="26.45">
      <c r="A1" s="15" t="s">
        <v>3</v>
      </c>
      <c r="B1" s="15" t="s">
        <v>558</v>
      </c>
      <c r="C1" s="15" t="s">
        <v>559</v>
      </c>
      <c r="D1" s="15" t="s">
        <v>560</v>
      </c>
      <c r="E1" s="15" t="s">
        <v>514</v>
      </c>
    </row>
    <row r="2" spans="1:5">
      <c r="A2" s="4" t="s">
        <v>22</v>
      </c>
      <c r="B2" s="2" t="s">
        <v>561</v>
      </c>
      <c r="C2" s="5" t="s">
        <v>562</v>
      </c>
      <c r="D2" s="2" t="s">
        <v>563</v>
      </c>
      <c r="E2" s="5" t="s">
        <v>564</v>
      </c>
    </row>
    <row r="3" spans="1:5">
      <c r="A3" s="4" t="s">
        <v>22</v>
      </c>
      <c r="B3" s="2" t="s">
        <v>565</v>
      </c>
      <c r="C3" s="5" t="s">
        <v>566</v>
      </c>
      <c r="D3" s="2" t="s">
        <v>567</v>
      </c>
      <c r="E3" s="5" t="s">
        <v>493</v>
      </c>
    </row>
    <row r="4" spans="1:5">
      <c r="A4" s="4" t="s">
        <v>22</v>
      </c>
      <c r="B4" s="2" t="s">
        <v>568</v>
      </c>
      <c r="C4" s="5" t="s">
        <v>569</v>
      </c>
      <c r="D4" s="2" t="s">
        <v>570</v>
      </c>
      <c r="E4" s="5" t="s">
        <v>60</v>
      </c>
    </row>
    <row r="5" spans="1:5">
      <c r="A5" s="4" t="s">
        <v>22</v>
      </c>
      <c r="B5" s="2" t="s">
        <v>571</v>
      </c>
      <c r="C5" s="5" t="s">
        <v>572</v>
      </c>
      <c r="D5" s="2" t="s">
        <v>573</v>
      </c>
      <c r="E5" s="5" t="s">
        <v>493</v>
      </c>
    </row>
    <row r="6" spans="1:5">
      <c r="A6" s="4" t="s">
        <v>22</v>
      </c>
      <c r="B6" s="2" t="s">
        <v>565</v>
      </c>
      <c r="C6" s="5" t="s">
        <v>574</v>
      </c>
      <c r="D6" s="2" t="s">
        <v>575</v>
      </c>
      <c r="E6" s="5" t="s">
        <v>564</v>
      </c>
    </row>
    <row r="7" spans="1:5" ht="26.45">
      <c r="A7" s="4" t="s">
        <v>22</v>
      </c>
      <c r="B7" s="2" t="s">
        <v>568</v>
      </c>
      <c r="C7" s="5" t="s">
        <v>576</v>
      </c>
      <c r="D7" s="2" t="s">
        <v>577</v>
      </c>
      <c r="E7" s="5" t="s">
        <v>60</v>
      </c>
    </row>
    <row r="8" spans="1:5">
      <c r="A8" s="4" t="s">
        <v>22</v>
      </c>
      <c r="B8" s="2" t="s">
        <v>568</v>
      </c>
      <c r="C8" s="5" t="s">
        <v>578</v>
      </c>
      <c r="D8" s="2" t="s">
        <v>579</v>
      </c>
      <c r="E8" s="5" t="s">
        <v>60</v>
      </c>
    </row>
    <row r="9" spans="1:5">
      <c r="A9" s="4" t="s">
        <v>22</v>
      </c>
      <c r="B9" s="2" t="s">
        <v>571</v>
      </c>
      <c r="C9" s="5" t="s">
        <v>580</v>
      </c>
      <c r="D9" s="2" t="s">
        <v>581</v>
      </c>
      <c r="E9" s="5" t="s">
        <v>582</v>
      </c>
    </row>
    <row r="10" spans="1:5">
      <c r="A10" s="4" t="s">
        <v>22</v>
      </c>
      <c r="B10" s="2" t="s">
        <v>571</v>
      </c>
      <c r="C10" s="5" t="s">
        <v>583</v>
      </c>
      <c r="D10" s="2" t="s">
        <v>584</v>
      </c>
      <c r="E10" s="5" t="s">
        <v>493</v>
      </c>
    </row>
    <row r="11" spans="1:5">
      <c r="A11" s="4" t="s">
        <v>22</v>
      </c>
      <c r="B11" s="2" t="s">
        <v>571</v>
      </c>
      <c r="C11" s="5" t="s">
        <v>585</v>
      </c>
      <c r="D11" s="2" t="s">
        <v>586</v>
      </c>
      <c r="E11" s="5" t="s">
        <v>493</v>
      </c>
    </row>
    <row r="12" spans="1:5">
      <c r="A12" s="4" t="s">
        <v>22</v>
      </c>
      <c r="B12" s="2" t="s">
        <v>571</v>
      </c>
      <c r="C12" s="5" t="s">
        <v>587</v>
      </c>
      <c r="D12" s="2" t="s">
        <v>588</v>
      </c>
      <c r="E12" s="5" t="s">
        <v>493</v>
      </c>
    </row>
    <row r="13" spans="1:5">
      <c r="A13" s="4" t="s">
        <v>22</v>
      </c>
      <c r="B13" s="2" t="s">
        <v>565</v>
      </c>
      <c r="C13" s="5" t="s">
        <v>589</v>
      </c>
      <c r="D13" s="2" t="s">
        <v>590</v>
      </c>
      <c r="E13" s="5" t="s">
        <v>493</v>
      </c>
    </row>
    <row r="14" spans="1:5">
      <c r="A14" s="4" t="s">
        <v>22</v>
      </c>
      <c r="B14" s="2" t="s">
        <v>568</v>
      </c>
      <c r="C14" s="5" t="s">
        <v>591</v>
      </c>
      <c r="D14" s="2" t="s">
        <v>592</v>
      </c>
      <c r="E14" s="5" t="s">
        <v>60</v>
      </c>
    </row>
    <row r="15" spans="1:5">
      <c r="A15" s="4" t="s">
        <v>22</v>
      </c>
      <c r="B15" s="2" t="s">
        <v>568</v>
      </c>
      <c r="C15" s="5" t="s">
        <v>593</v>
      </c>
      <c r="D15" s="2" t="s">
        <v>594</v>
      </c>
      <c r="E15" s="5" t="s">
        <v>60</v>
      </c>
    </row>
    <row r="16" spans="1:5">
      <c r="A16" s="4" t="s">
        <v>22</v>
      </c>
      <c r="B16" s="2" t="s">
        <v>571</v>
      </c>
      <c r="C16" s="5" t="s">
        <v>595</v>
      </c>
      <c r="D16" s="2" t="s">
        <v>596</v>
      </c>
      <c r="E16" s="5" t="s">
        <v>493</v>
      </c>
    </row>
    <row r="17" spans="1:5">
      <c r="A17" s="4" t="s">
        <v>22</v>
      </c>
      <c r="B17" s="2" t="s">
        <v>571</v>
      </c>
      <c r="C17" s="5" t="s">
        <v>597</v>
      </c>
      <c r="D17" s="2" t="s">
        <v>598</v>
      </c>
      <c r="E17" s="5" t="s">
        <v>493</v>
      </c>
    </row>
    <row r="18" spans="1:5">
      <c r="A18" s="4" t="s">
        <v>22</v>
      </c>
      <c r="B18" s="2" t="s">
        <v>565</v>
      </c>
      <c r="C18" s="5" t="s">
        <v>599</v>
      </c>
      <c r="D18" s="2" t="s">
        <v>600</v>
      </c>
      <c r="E18" s="5" t="s">
        <v>493</v>
      </c>
    </row>
    <row r="19" spans="1:5">
      <c r="A19" s="4" t="s">
        <v>22</v>
      </c>
      <c r="B19" s="2" t="s">
        <v>568</v>
      </c>
      <c r="C19" s="5" t="s">
        <v>601</v>
      </c>
      <c r="D19" s="2" t="s">
        <v>602</v>
      </c>
      <c r="E19" s="5" t="s">
        <v>493</v>
      </c>
    </row>
    <row r="20" spans="1:5">
      <c r="A20" s="4" t="s">
        <v>22</v>
      </c>
      <c r="B20" s="2" t="s">
        <v>568</v>
      </c>
      <c r="C20" s="5" t="s">
        <v>603</v>
      </c>
      <c r="D20" s="2" t="s">
        <v>604</v>
      </c>
      <c r="E20" s="5" t="s">
        <v>493</v>
      </c>
    </row>
    <row r="21" spans="1:5">
      <c r="A21" s="7" t="s">
        <v>23</v>
      </c>
      <c r="B21" s="2" t="s">
        <v>561</v>
      </c>
      <c r="C21" s="5" t="s">
        <v>605</v>
      </c>
      <c r="D21" s="2" t="s">
        <v>606</v>
      </c>
      <c r="E21" s="5" t="s">
        <v>564</v>
      </c>
    </row>
    <row r="22" spans="1:5">
      <c r="A22" s="7" t="s">
        <v>23</v>
      </c>
      <c r="B22" s="2" t="s">
        <v>568</v>
      </c>
      <c r="C22" s="5" t="s">
        <v>607</v>
      </c>
      <c r="D22" s="2" t="s">
        <v>608</v>
      </c>
      <c r="E22" s="5" t="s">
        <v>493</v>
      </c>
    </row>
    <row r="23" spans="1:5">
      <c r="A23" s="7" t="s">
        <v>23</v>
      </c>
      <c r="B23" s="2" t="s">
        <v>568</v>
      </c>
      <c r="C23" s="5" t="s">
        <v>609</v>
      </c>
      <c r="D23" s="2" t="s">
        <v>610</v>
      </c>
      <c r="E23" s="5" t="s">
        <v>480</v>
      </c>
    </row>
    <row r="24" spans="1:5">
      <c r="A24" s="7" t="s">
        <v>23</v>
      </c>
      <c r="B24" s="2" t="s">
        <v>565</v>
      </c>
      <c r="C24" s="5" t="s">
        <v>611</v>
      </c>
      <c r="D24" s="2" t="s">
        <v>612</v>
      </c>
      <c r="E24" s="5" t="s">
        <v>564</v>
      </c>
    </row>
    <row r="25" spans="1:5">
      <c r="A25" s="7" t="s">
        <v>23</v>
      </c>
      <c r="B25" s="2" t="s">
        <v>568</v>
      </c>
      <c r="C25" s="5" t="s">
        <v>613</v>
      </c>
      <c r="D25" s="2" t="s">
        <v>614</v>
      </c>
      <c r="E25" s="5" t="s">
        <v>60</v>
      </c>
    </row>
    <row r="26" spans="1:5">
      <c r="A26" s="7" t="s">
        <v>23</v>
      </c>
      <c r="B26" s="2" t="s">
        <v>568</v>
      </c>
      <c r="C26" s="5" t="s">
        <v>615</v>
      </c>
      <c r="D26" s="2" t="s">
        <v>616</v>
      </c>
      <c r="E26" s="5" t="s">
        <v>480</v>
      </c>
    </row>
    <row r="27" spans="1:5">
      <c r="A27" s="7" t="s">
        <v>23</v>
      </c>
      <c r="B27" s="2" t="s">
        <v>568</v>
      </c>
      <c r="C27" s="5" t="s">
        <v>617</v>
      </c>
      <c r="D27" s="2" t="s">
        <v>618</v>
      </c>
      <c r="E27" s="5" t="s">
        <v>60</v>
      </c>
    </row>
    <row r="28" spans="1:5">
      <c r="A28" s="7" t="s">
        <v>23</v>
      </c>
      <c r="B28" s="2" t="s">
        <v>571</v>
      </c>
      <c r="C28" s="5" t="s">
        <v>619</v>
      </c>
      <c r="D28" s="2" t="s">
        <v>620</v>
      </c>
      <c r="E28" s="5" t="s">
        <v>493</v>
      </c>
    </row>
    <row r="29" spans="1:5">
      <c r="A29" s="7" t="s">
        <v>23</v>
      </c>
      <c r="B29" s="2" t="s">
        <v>571</v>
      </c>
      <c r="C29" s="5" t="s">
        <v>621</v>
      </c>
      <c r="D29" s="2" t="s">
        <v>622</v>
      </c>
      <c r="E29" s="5" t="s">
        <v>493</v>
      </c>
    </row>
    <row r="30" spans="1:5">
      <c r="A30" s="7" t="s">
        <v>23</v>
      </c>
      <c r="B30" s="2" t="s">
        <v>565</v>
      </c>
      <c r="C30" s="5" t="s">
        <v>623</v>
      </c>
      <c r="D30" s="2" t="s">
        <v>624</v>
      </c>
      <c r="E30" s="5" t="s">
        <v>564</v>
      </c>
    </row>
    <row r="31" spans="1:5">
      <c r="A31" s="7" t="s">
        <v>23</v>
      </c>
      <c r="B31" s="2" t="s">
        <v>568</v>
      </c>
      <c r="C31" s="5" t="s">
        <v>625</v>
      </c>
      <c r="D31" s="2" t="s">
        <v>626</v>
      </c>
      <c r="E31" s="5" t="s">
        <v>480</v>
      </c>
    </row>
    <row r="32" spans="1:5" ht="26.45">
      <c r="A32" s="7" t="s">
        <v>23</v>
      </c>
      <c r="B32" s="2" t="s">
        <v>568</v>
      </c>
      <c r="C32" s="5" t="s">
        <v>627</v>
      </c>
      <c r="D32" s="2" t="s">
        <v>628</v>
      </c>
      <c r="E32" s="5" t="s">
        <v>480</v>
      </c>
    </row>
    <row r="33" spans="1:5">
      <c r="A33" s="7" t="s">
        <v>23</v>
      </c>
      <c r="B33" s="2" t="s">
        <v>568</v>
      </c>
      <c r="C33" s="5" t="s">
        <v>629</v>
      </c>
      <c r="D33" s="2" t="s">
        <v>630</v>
      </c>
      <c r="E33" s="5" t="s">
        <v>60</v>
      </c>
    </row>
    <row r="34" spans="1:5">
      <c r="A34" s="7" t="s">
        <v>23</v>
      </c>
      <c r="B34" s="2" t="s">
        <v>568</v>
      </c>
      <c r="C34" s="5" t="s">
        <v>631</v>
      </c>
      <c r="D34" s="2" t="s">
        <v>632</v>
      </c>
      <c r="E34" s="5" t="s">
        <v>60</v>
      </c>
    </row>
    <row r="35" spans="1:5">
      <c r="A35" s="7" t="s">
        <v>23</v>
      </c>
      <c r="B35" s="2" t="s">
        <v>571</v>
      </c>
      <c r="C35" s="5" t="s">
        <v>633</v>
      </c>
      <c r="D35" s="2" t="s">
        <v>634</v>
      </c>
      <c r="E35" s="5" t="s">
        <v>493</v>
      </c>
    </row>
    <row r="36" spans="1:5">
      <c r="A36" s="7" t="s">
        <v>23</v>
      </c>
      <c r="B36" s="2" t="s">
        <v>571</v>
      </c>
      <c r="C36" s="5" t="s">
        <v>635</v>
      </c>
      <c r="D36" s="2" t="s">
        <v>636</v>
      </c>
      <c r="E36" s="5" t="s">
        <v>493</v>
      </c>
    </row>
    <row r="37" spans="1:5">
      <c r="A37" s="7" t="s">
        <v>23</v>
      </c>
      <c r="B37" s="2" t="s">
        <v>565</v>
      </c>
      <c r="C37" s="5" t="s">
        <v>637</v>
      </c>
      <c r="D37" s="2" t="s">
        <v>638</v>
      </c>
      <c r="E37" s="5" t="s">
        <v>564</v>
      </c>
    </row>
    <row r="38" spans="1:5">
      <c r="A38" s="7" t="s">
        <v>23</v>
      </c>
      <c r="B38" s="2" t="s">
        <v>568</v>
      </c>
      <c r="C38" s="5" t="s">
        <v>639</v>
      </c>
      <c r="D38" s="2" t="s">
        <v>640</v>
      </c>
      <c r="E38" s="5" t="s">
        <v>60</v>
      </c>
    </row>
    <row r="39" spans="1:5">
      <c r="A39" s="7" t="s">
        <v>23</v>
      </c>
      <c r="B39" s="2" t="s">
        <v>568</v>
      </c>
      <c r="C39" s="5" t="s">
        <v>641</v>
      </c>
      <c r="D39" s="2" t="s">
        <v>642</v>
      </c>
      <c r="E39" s="5" t="s">
        <v>60</v>
      </c>
    </row>
    <row r="40" spans="1:5">
      <c r="A40" s="7" t="s">
        <v>23</v>
      </c>
      <c r="B40" s="2" t="s">
        <v>571</v>
      </c>
      <c r="C40" s="5" t="s">
        <v>643</v>
      </c>
      <c r="D40" s="2" t="s">
        <v>644</v>
      </c>
      <c r="E40" s="5" t="s">
        <v>493</v>
      </c>
    </row>
    <row r="41" spans="1:5">
      <c r="A41" s="7" t="s">
        <v>23</v>
      </c>
      <c r="B41" s="2" t="s">
        <v>571</v>
      </c>
      <c r="C41" s="5" t="s">
        <v>645</v>
      </c>
      <c r="D41" s="2" t="s">
        <v>646</v>
      </c>
      <c r="E41" s="5" t="s">
        <v>493</v>
      </c>
    </row>
    <row r="42" spans="1:5">
      <c r="A42" s="7" t="s">
        <v>23</v>
      </c>
      <c r="B42" s="2" t="s">
        <v>565</v>
      </c>
      <c r="C42" s="5" t="s">
        <v>647</v>
      </c>
      <c r="D42" s="2" t="s">
        <v>648</v>
      </c>
      <c r="E42" s="5" t="s">
        <v>649</v>
      </c>
    </row>
    <row r="43" spans="1:5">
      <c r="A43" s="7" t="s">
        <v>23</v>
      </c>
      <c r="B43" s="2" t="s">
        <v>568</v>
      </c>
      <c r="C43" s="5" t="s">
        <v>650</v>
      </c>
      <c r="D43" s="2" t="s">
        <v>651</v>
      </c>
      <c r="E43" s="5" t="s">
        <v>60</v>
      </c>
    </row>
    <row r="44" spans="1:5">
      <c r="A44" s="7" t="s">
        <v>23</v>
      </c>
      <c r="B44" s="2" t="s">
        <v>571</v>
      </c>
      <c r="C44" s="5" t="s">
        <v>652</v>
      </c>
      <c r="D44" s="2" t="s">
        <v>653</v>
      </c>
      <c r="E44" s="5" t="s">
        <v>493</v>
      </c>
    </row>
    <row r="45" spans="1:5">
      <c r="A45" s="7" t="s">
        <v>23</v>
      </c>
      <c r="B45" s="2" t="s">
        <v>565</v>
      </c>
      <c r="C45" s="5" t="s">
        <v>654</v>
      </c>
      <c r="D45" s="2" t="s">
        <v>655</v>
      </c>
      <c r="E45" s="5" t="s">
        <v>493</v>
      </c>
    </row>
    <row r="46" spans="1:5">
      <c r="A46" s="7" t="s">
        <v>23</v>
      </c>
      <c r="B46" s="2" t="s">
        <v>568</v>
      </c>
      <c r="C46" s="5" t="s">
        <v>656</v>
      </c>
      <c r="D46" s="2" t="s">
        <v>657</v>
      </c>
      <c r="E46" s="5" t="s">
        <v>493</v>
      </c>
    </row>
    <row r="47" spans="1:5">
      <c r="A47" s="7" t="s">
        <v>23</v>
      </c>
      <c r="B47" s="2" t="s">
        <v>568</v>
      </c>
      <c r="C47" s="5" t="s">
        <v>658</v>
      </c>
      <c r="D47" s="2" t="s">
        <v>659</v>
      </c>
      <c r="E47" s="5" t="s">
        <v>493</v>
      </c>
    </row>
  </sheetData>
  <autoFilter ref="A1:E47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zoomScaleNormal="100" workbookViewId="0">
      <pane ySplit="2" topLeftCell="A3" activePane="bottomLeft" state="frozen"/>
      <selection pane="bottomLeft" activeCell="B33" sqref="B33"/>
    </sheetView>
  </sheetViews>
  <sheetFormatPr defaultColWidth="8.7109375" defaultRowHeight="14.45"/>
  <cols>
    <col min="1" max="1" width="15" customWidth="1"/>
    <col min="2" max="2" width="42" customWidth="1"/>
    <col min="3" max="3" width="8" customWidth="1"/>
    <col min="4" max="4" width="22" customWidth="1"/>
    <col min="5" max="5" width="26" customWidth="1"/>
    <col min="6" max="6" width="14" customWidth="1"/>
    <col min="7" max="7" width="58" customWidth="1"/>
  </cols>
  <sheetData>
    <row r="1" spans="1:7" ht="15" customHeight="1">
      <c r="A1" s="74" t="s">
        <v>660</v>
      </c>
      <c r="B1" s="74"/>
      <c r="C1" s="74"/>
      <c r="D1" s="74"/>
      <c r="E1" s="74"/>
      <c r="F1" s="74"/>
      <c r="G1" s="74"/>
    </row>
    <row r="2" spans="1:7">
      <c r="A2" s="25" t="s">
        <v>661</v>
      </c>
      <c r="B2" s="25" t="s">
        <v>662</v>
      </c>
      <c r="C2" s="25" t="s">
        <v>663</v>
      </c>
      <c r="D2" s="25" t="s">
        <v>664</v>
      </c>
      <c r="E2" s="25" t="s">
        <v>50</v>
      </c>
      <c r="F2" s="25" t="s">
        <v>665</v>
      </c>
      <c r="G2" s="25" t="s">
        <v>666</v>
      </c>
    </row>
    <row r="3" spans="1:7" ht="26.45">
      <c r="A3" s="16" t="s">
        <v>667</v>
      </c>
      <c r="B3" s="2" t="s">
        <v>668</v>
      </c>
      <c r="C3" s="2" t="s">
        <v>68</v>
      </c>
      <c r="D3" s="10" t="s">
        <v>25</v>
      </c>
      <c r="E3" s="2" t="s">
        <v>60</v>
      </c>
      <c r="F3" s="5" t="s">
        <v>75</v>
      </c>
      <c r="G3" s="2" t="s">
        <v>669</v>
      </c>
    </row>
    <row r="4" spans="1:7" ht="26.45">
      <c r="A4" s="16" t="s">
        <v>670</v>
      </c>
      <c r="B4" s="2" t="s">
        <v>671</v>
      </c>
      <c r="C4" s="2" t="s">
        <v>68</v>
      </c>
      <c r="D4" s="10" t="s">
        <v>25</v>
      </c>
      <c r="E4" s="2" t="s">
        <v>60</v>
      </c>
      <c r="F4" s="5" t="s">
        <v>75</v>
      </c>
      <c r="G4" s="2" t="s">
        <v>669</v>
      </c>
    </row>
    <row r="5" spans="1:7" ht="26.45">
      <c r="A5" s="16" t="s">
        <v>672</v>
      </c>
      <c r="B5" s="2" t="s">
        <v>673</v>
      </c>
      <c r="C5" s="2" t="s">
        <v>68</v>
      </c>
      <c r="D5" s="10" t="s">
        <v>25</v>
      </c>
      <c r="E5" s="2" t="s">
        <v>60</v>
      </c>
      <c r="F5" s="5" t="s">
        <v>75</v>
      </c>
      <c r="G5" s="2" t="s">
        <v>669</v>
      </c>
    </row>
    <row r="6" spans="1:7" ht="26.45">
      <c r="A6" s="16" t="s">
        <v>674</v>
      </c>
      <c r="B6" s="2" t="s">
        <v>675</v>
      </c>
      <c r="C6" s="2" t="s">
        <v>68</v>
      </c>
      <c r="D6" s="10" t="s">
        <v>25</v>
      </c>
      <c r="E6" s="2" t="s">
        <v>60</v>
      </c>
      <c r="F6" s="5" t="s">
        <v>75</v>
      </c>
      <c r="G6" s="2" t="s">
        <v>669</v>
      </c>
    </row>
    <row r="7" spans="1:7" ht="26.45">
      <c r="A7" s="16" t="s">
        <v>676</v>
      </c>
      <c r="B7" s="2" t="s">
        <v>677</v>
      </c>
      <c r="C7" s="2" t="s">
        <v>68</v>
      </c>
      <c r="D7" s="11" t="s">
        <v>27</v>
      </c>
      <c r="E7" s="2" t="s">
        <v>200</v>
      </c>
      <c r="F7" s="5" t="s">
        <v>75</v>
      </c>
      <c r="G7" s="2" t="s">
        <v>669</v>
      </c>
    </row>
    <row r="8" spans="1:7" ht="26.45">
      <c r="A8" s="16" t="s">
        <v>678</v>
      </c>
      <c r="B8" s="2" t="s">
        <v>679</v>
      </c>
      <c r="C8" s="2" t="s">
        <v>68</v>
      </c>
      <c r="D8" s="11" t="s">
        <v>27</v>
      </c>
      <c r="E8" s="2" t="s">
        <v>236</v>
      </c>
      <c r="F8" s="5" t="s">
        <v>680</v>
      </c>
      <c r="G8" s="2" t="s">
        <v>669</v>
      </c>
    </row>
    <row r="9" spans="1:7" ht="26.45">
      <c r="A9" s="16" t="s">
        <v>681</v>
      </c>
      <c r="B9" s="2" t="s">
        <v>682</v>
      </c>
      <c r="C9" s="2" t="s">
        <v>68</v>
      </c>
      <c r="D9" s="10" t="s">
        <v>25</v>
      </c>
      <c r="E9" s="2" t="s">
        <v>60</v>
      </c>
      <c r="F9" s="5" t="s">
        <v>75</v>
      </c>
      <c r="G9" s="2" t="s">
        <v>669</v>
      </c>
    </row>
    <row r="10" spans="1:7" ht="26.45">
      <c r="A10" s="16" t="s">
        <v>683</v>
      </c>
      <c r="B10" s="2" t="s">
        <v>684</v>
      </c>
      <c r="C10" s="2" t="s">
        <v>68</v>
      </c>
      <c r="D10" s="10" t="s">
        <v>25</v>
      </c>
      <c r="E10" s="2" t="s">
        <v>60</v>
      </c>
      <c r="F10" s="5" t="s">
        <v>75</v>
      </c>
      <c r="G10" s="2" t="s">
        <v>669</v>
      </c>
    </row>
    <row r="11" spans="1:7" ht="26.45">
      <c r="A11" s="16" t="s">
        <v>685</v>
      </c>
      <c r="B11" s="2" t="s">
        <v>686</v>
      </c>
      <c r="C11" s="2" t="s">
        <v>68</v>
      </c>
      <c r="D11" s="10" t="s">
        <v>25</v>
      </c>
      <c r="E11" s="2" t="s">
        <v>60</v>
      </c>
      <c r="F11" s="5" t="s">
        <v>75</v>
      </c>
      <c r="G11" s="2" t="s">
        <v>669</v>
      </c>
    </row>
    <row r="12" spans="1:7" ht="26.45">
      <c r="A12" s="16" t="s">
        <v>687</v>
      </c>
      <c r="B12" s="2" t="s">
        <v>688</v>
      </c>
      <c r="C12" s="2" t="s">
        <v>68</v>
      </c>
      <c r="D12" s="10" t="s">
        <v>25</v>
      </c>
      <c r="E12" s="2" t="s">
        <v>60</v>
      </c>
      <c r="F12" s="5" t="s">
        <v>75</v>
      </c>
      <c r="G12" s="2" t="s">
        <v>669</v>
      </c>
    </row>
    <row r="13" spans="1:7" ht="26.45">
      <c r="A13" s="16" t="s">
        <v>689</v>
      </c>
      <c r="B13" s="2" t="s">
        <v>690</v>
      </c>
      <c r="C13" s="2" t="s">
        <v>68</v>
      </c>
      <c r="D13" s="10" t="s">
        <v>25</v>
      </c>
      <c r="E13" s="2" t="s">
        <v>60</v>
      </c>
      <c r="F13" s="5" t="s">
        <v>75</v>
      </c>
      <c r="G13" s="2" t="s">
        <v>669</v>
      </c>
    </row>
    <row r="14" spans="1:7" ht="26.45">
      <c r="A14" s="16" t="s">
        <v>691</v>
      </c>
      <c r="B14" s="2" t="s">
        <v>692</v>
      </c>
      <c r="C14" s="2" t="s">
        <v>68</v>
      </c>
      <c r="D14" s="10" t="s">
        <v>25</v>
      </c>
      <c r="E14" s="2" t="s">
        <v>60</v>
      </c>
      <c r="F14" s="5" t="s">
        <v>75</v>
      </c>
      <c r="G14" s="2" t="s">
        <v>669</v>
      </c>
    </row>
    <row r="15" spans="1:7" ht="26.45">
      <c r="A15" s="16" t="s">
        <v>693</v>
      </c>
      <c r="B15" s="2" t="s">
        <v>694</v>
      </c>
      <c r="C15" s="2" t="s">
        <v>68</v>
      </c>
      <c r="D15" s="10" t="s">
        <v>25</v>
      </c>
      <c r="E15" s="2" t="s">
        <v>60</v>
      </c>
      <c r="F15" s="5" t="s">
        <v>75</v>
      </c>
      <c r="G15" s="2" t="s">
        <v>669</v>
      </c>
    </row>
    <row r="16" spans="1:7" ht="26.45">
      <c r="A16" s="16" t="s">
        <v>695</v>
      </c>
      <c r="B16" s="2" t="s">
        <v>696</v>
      </c>
      <c r="C16" s="2" t="s">
        <v>68</v>
      </c>
      <c r="D16" s="10" t="s">
        <v>25</v>
      </c>
      <c r="E16" s="2" t="s">
        <v>60</v>
      </c>
      <c r="F16" s="5" t="s">
        <v>75</v>
      </c>
      <c r="G16" s="2" t="s">
        <v>669</v>
      </c>
    </row>
    <row r="17" spans="1:7" ht="26.45">
      <c r="A17" s="16" t="s">
        <v>697</v>
      </c>
      <c r="B17" s="2" t="s">
        <v>698</v>
      </c>
      <c r="C17" s="2" t="s">
        <v>68</v>
      </c>
      <c r="D17" s="12" t="s">
        <v>29</v>
      </c>
      <c r="E17" s="2" t="s">
        <v>89</v>
      </c>
      <c r="F17" s="5" t="s">
        <v>680</v>
      </c>
      <c r="G17" s="2" t="s">
        <v>669</v>
      </c>
    </row>
    <row r="18" spans="1:7" ht="26.45">
      <c r="A18" s="16" t="s">
        <v>699</v>
      </c>
      <c r="B18" s="2" t="s">
        <v>700</v>
      </c>
      <c r="C18" s="2" t="s">
        <v>68</v>
      </c>
      <c r="D18" s="11" t="s">
        <v>27</v>
      </c>
      <c r="E18" s="2" t="s">
        <v>236</v>
      </c>
      <c r="F18" s="5" t="s">
        <v>680</v>
      </c>
      <c r="G18" s="2" t="s">
        <v>669</v>
      </c>
    </row>
    <row r="19" spans="1:7" ht="26.45">
      <c r="A19" s="16" t="s">
        <v>701</v>
      </c>
      <c r="B19" s="2" t="s">
        <v>702</v>
      </c>
      <c r="C19" s="2" t="s">
        <v>68</v>
      </c>
      <c r="D19" s="12" t="s">
        <v>29</v>
      </c>
      <c r="E19" s="2" t="s">
        <v>89</v>
      </c>
      <c r="F19" s="5" t="s">
        <v>680</v>
      </c>
      <c r="G19" s="2" t="s">
        <v>669</v>
      </c>
    </row>
    <row r="20" spans="1:7" ht="26.45">
      <c r="A20" s="16" t="s">
        <v>703</v>
      </c>
      <c r="B20" s="2" t="s">
        <v>704</v>
      </c>
      <c r="C20" s="2" t="s">
        <v>68</v>
      </c>
      <c r="D20" s="10" t="s">
        <v>25</v>
      </c>
      <c r="E20" s="2" t="s">
        <v>60</v>
      </c>
      <c r="F20" s="5" t="s">
        <v>75</v>
      </c>
      <c r="G20" s="2" t="s">
        <v>669</v>
      </c>
    </row>
    <row r="21" spans="1:7" ht="26.45">
      <c r="A21" s="16" t="s">
        <v>705</v>
      </c>
      <c r="B21" s="2" t="s">
        <v>706</v>
      </c>
      <c r="C21" s="2" t="s">
        <v>68</v>
      </c>
      <c r="D21" s="10" t="s">
        <v>25</v>
      </c>
      <c r="E21" s="2" t="s">
        <v>60</v>
      </c>
      <c r="F21" s="5" t="s">
        <v>75</v>
      </c>
      <c r="G21" s="2" t="s">
        <v>669</v>
      </c>
    </row>
    <row r="22" spans="1:7" ht="26.45">
      <c r="A22" s="16" t="s">
        <v>707</v>
      </c>
      <c r="B22" s="2" t="s">
        <v>708</v>
      </c>
      <c r="C22" s="2" t="s">
        <v>68</v>
      </c>
      <c r="D22" s="11" t="s">
        <v>27</v>
      </c>
      <c r="E22" s="2" t="s">
        <v>200</v>
      </c>
      <c r="F22" s="5" t="s">
        <v>75</v>
      </c>
      <c r="G22" s="2" t="s">
        <v>669</v>
      </c>
    </row>
    <row r="23" spans="1:7" ht="26.45">
      <c r="A23" s="16" t="s">
        <v>709</v>
      </c>
      <c r="B23" s="2" t="s">
        <v>710</v>
      </c>
      <c r="C23" s="2" t="s">
        <v>68</v>
      </c>
      <c r="D23" s="11" t="s">
        <v>27</v>
      </c>
      <c r="E23" s="2" t="s">
        <v>711</v>
      </c>
      <c r="F23" s="5" t="s">
        <v>680</v>
      </c>
      <c r="G23" s="2" t="s">
        <v>669</v>
      </c>
    </row>
    <row r="24" spans="1:7" ht="26.45">
      <c r="A24" s="16" t="s">
        <v>712</v>
      </c>
      <c r="B24" s="2" t="s">
        <v>713</v>
      </c>
      <c r="C24" s="2" t="s">
        <v>68</v>
      </c>
      <c r="D24" s="10" t="s">
        <v>25</v>
      </c>
      <c r="E24" s="2" t="s">
        <v>60</v>
      </c>
      <c r="F24" s="5" t="s">
        <v>75</v>
      </c>
      <c r="G24" s="2" t="s">
        <v>669</v>
      </c>
    </row>
    <row r="25" spans="1:7" ht="26.45">
      <c r="A25" s="16" t="s">
        <v>714</v>
      </c>
      <c r="B25" s="2" t="s">
        <v>715</v>
      </c>
      <c r="C25" s="2" t="s">
        <v>68</v>
      </c>
      <c r="D25" s="11" t="s">
        <v>27</v>
      </c>
      <c r="E25" s="2" t="s">
        <v>711</v>
      </c>
      <c r="F25" s="5" t="s">
        <v>680</v>
      </c>
      <c r="G25" s="2" t="s">
        <v>669</v>
      </c>
    </row>
    <row r="26" spans="1:7" ht="26.45">
      <c r="A26" s="16" t="s">
        <v>716</v>
      </c>
      <c r="B26" s="2" t="s">
        <v>717</v>
      </c>
      <c r="C26" s="2" t="s">
        <v>68</v>
      </c>
      <c r="D26" s="12" t="s">
        <v>29</v>
      </c>
      <c r="E26" s="2" t="s">
        <v>89</v>
      </c>
      <c r="F26" s="5" t="s">
        <v>680</v>
      </c>
      <c r="G26" s="2" t="s">
        <v>669</v>
      </c>
    </row>
    <row r="27" spans="1:7" ht="26.45">
      <c r="A27" s="16" t="s">
        <v>718</v>
      </c>
      <c r="B27" s="2" t="s">
        <v>719</v>
      </c>
      <c r="C27" s="2" t="s">
        <v>56</v>
      </c>
      <c r="D27" s="10" t="s">
        <v>25</v>
      </c>
      <c r="E27" s="2" t="s">
        <v>60</v>
      </c>
      <c r="F27" s="5" t="s">
        <v>720</v>
      </c>
      <c r="G27" s="2" t="s">
        <v>721</v>
      </c>
    </row>
    <row r="28" spans="1:7" ht="26.45">
      <c r="A28" s="16" t="s">
        <v>722</v>
      </c>
      <c r="B28" s="2" t="s">
        <v>723</v>
      </c>
      <c r="C28" s="2" t="s">
        <v>56</v>
      </c>
      <c r="D28" s="11" t="s">
        <v>27</v>
      </c>
      <c r="E28" s="2" t="s">
        <v>236</v>
      </c>
      <c r="F28" s="5" t="s">
        <v>724</v>
      </c>
      <c r="G28" s="2" t="s">
        <v>721</v>
      </c>
    </row>
    <row r="29" spans="1:7" ht="26.45">
      <c r="A29" s="16" t="s">
        <v>725</v>
      </c>
      <c r="B29" s="2" t="s">
        <v>726</v>
      </c>
      <c r="C29" s="2" t="s">
        <v>56</v>
      </c>
      <c r="D29" s="10" t="s">
        <v>25</v>
      </c>
      <c r="E29" s="2" t="s">
        <v>60</v>
      </c>
      <c r="F29" s="5" t="s">
        <v>720</v>
      </c>
      <c r="G29" s="2" t="s">
        <v>721</v>
      </c>
    </row>
    <row r="30" spans="1:7" ht="26.45">
      <c r="A30" s="16" t="s">
        <v>727</v>
      </c>
      <c r="B30" s="2" t="s">
        <v>728</v>
      </c>
      <c r="C30" s="2" t="s">
        <v>56</v>
      </c>
      <c r="D30" s="11" t="s">
        <v>27</v>
      </c>
      <c r="E30" s="2" t="s">
        <v>236</v>
      </c>
      <c r="F30" s="5" t="s">
        <v>724</v>
      </c>
      <c r="G30" s="2" t="s">
        <v>721</v>
      </c>
    </row>
    <row r="31" spans="1:7" ht="26.45">
      <c r="A31" s="16" t="s">
        <v>729</v>
      </c>
      <c r="B31" s="2" t="s">
        <v>730</v>
      </c>
      <c r="C31" s="2" t="s">
        <v>56</v>
      </c>
      <c r="D31" s="12" t="s">
        <v>29</v>
      </c>
      <c r="E31" s="2" t="s">
        <v>89</v>
      </c>
      <c r="F31" s="5" t="s">
        <v>680</v>
      </c>
      <c r="G31" s="2" t="s">
        <v>731</v>
      </c>
    </row>
    <row r="32" spans="1:7" ht="26.45">
      <c r="A32" s="16" t="s">
        <v>732</v>
      </c>
      <c r="B32" s="2" t="s">
        <v>733</v>
      </c>
      <c r="C32" s="2" t="s">
        <v>56</v>
      </c>
      <c r="D32" s="12" t="s">
        <v>29</v>
      </c>
      <c r="E32" s="2" t="s">
        <v>89</v>
      </c>
      <c r="F32" s="5" t="s">
        <v>680</v>
      </c>
      <c r="G32" s="2" t="s">
        <v>731</v>
      </c>
    </row>
    <row r="33" spans="1:7" ht="26.45">
      <c r="A33" s="16" t="s">
        <v>734</v>
      </c>
      <c r="B33" s="2" t="s">
        <v>735</v>
      </c>
      <c r="C33" s="2" t="s">
        <v>56</v>
      </c>
      <c r="D33" s="12" t="s">
        <v>29</v>
      </c>
      <c r="E33" s="2" t="s">
        <v>89</v>
      </c>
      <c r="F33" s="5" t="s">
        <v>680</v>
      </c>
      <c r="G33" s="2" t="s">
        <v>731</v>
      </c>
    </row>
  </sheetData>
  <autoFilter ref="A2:G33" xr:uid="{00000000-0009-0000-0000-000004000000}"/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E4B4-06E3-4834-AF9E-92881B214A8C}">
  <dimension ref="A1:L121"/>
  <sheetViews>
    <sheetView topLeftCell="A60" workbookViewId="0">
      <selection activeCell="A60" sqref="A60"/>
    </sheetView>
  </sheetViews>
  <sheetFormatPr defaultRowHeight="14.45"/>
  <cols>
    <col min="1" max="1" width="18.28515625" bestFit="1" customWidth="1"/>
    <col min="2" max="2" width="34.7109375" customWidth="1"/>
    <col min="3" max="3" width="29.7109375" customWidth="1"/>
    <col min="4" max="4" width="35.28515625" customWidth="1"/>
    <col min="5" max="5" width="43.7109375" bestFit="1" customWidth="1"/>
    <col min="6" max="6" width="35.7109375" customWidth="1"/>
    <col min="7" max="7" width="50.28515625" customWidth="1"/>
    <col min="8" max="8" width="35.85546875" customWidth="1"/>
    <col min="9" max="9" width="30.7109375" bestFit="1" customWidth="1"/>
    <col min="10" max="10" width="37.28515625" bestFit="1" customWidth="1"/>
    <col min="11" max="11" width="23.28515625" bestFit="1" customWidth="1"/>
    <col min="12" max="12" width="24.7109375" bestFit="1" customWidth="1"/>
  </cols>
  <sheetData>
    <row r="1" spans="1:12">
      <c r="A1" s="33" t="s">
        <v>736</v>
      </c>
      <c r="B1" s="33" t="s">
        <v>737</v>
      </c>
      <c r="C1" s="33" t="s">
        <v>738</v>
      </c>
      <c r="D1" s="33" t="s">
        <v>739</v>
      </c>
      <c r="E1" s="33" t="s">
        <v>665</v>
      </c>
      <c r="F1" s="33" t="s">
        <v>740</v>
      </c>
      <c r="G1" s="33" t="s">
        <v>741</v>
      </c>
      <c r="H1" s="33" t="s">
        <v>742</v>
      </c>
      <c r="I1" s="34" t="s">
        <v>743</v>
      </c>
      <c r="J1" s="34" t="s">
        <v>744</v>
      </c>
      <c r="K1" s="34" t="s">
        <v>745</v>
      </c>
      <c r="L1" s="34" t="s">
        <v>54</v>
      </c>
    </row>
    <row r="2" spans="1:12">
      <c r="A2" s="47" t="s">
        <v>72</v>
      </c>
      <c r="B2" s="47" t="s">
        <v>240</v>
      </c>
      <c r="C2" s="47" t="s">
        <v>746</v>
      </c>
      <c r="D2" s="47" t="s">
        <v>747</v>
      </c>
      <c r="E2" s="47" t="s">
        <v>75</v>
      </c>
      <c r="F2" s="47"/>
      <c r="G2" t="s">
        <v>748</v>
      </c>
      <c r="H2" t="s">
        <v>73</v>
      </c>
      <c r="I2" s="47" t="s">
        <v>60</v>
      </c>
    </row>
    <row r="3" spans="1:12">
      <c r="A3" s="47" t="s">
        <v>749</v>
      </c>
      <c r="B3" s="47" t="s">
        <v>750</v>
      </c>
      <c r="C3" s="47" t="s">
        <v>751</v>
      </c>
      <c r="D3" s="47" t="s">
        <v>752</v>
      </c>
      <c r="E3" s="47" t="s">
        <v>75</v>
      </c>
      <c r="F3" s="47"/>
      <c r="G3" t="s">
        <v>753</v>
      </c>
      <c r="H3" t="s">
        <v>754</v>
      </c>
      <c r="I3" s="47" t="s">
        <v>60</v>
      </c>
    </row>
    <row r="4" spans="1:12">
      <c r="A4" s="47" t="s">
        <v>755</v>
      </c>
      <c r="B4" s="47" t="s">
        <v>756</v>
      </c>
      <c r="C4" s="47" t="s">
        <v>757</v>
      </c>
      <c r="D4" s="47" t="s">
        <v>758</v>
      </c>
      <c r="E4" s="47" t="s">
        <v>75</v>
      </c>
      <c r="F4" s="47"/>
      <c r="G4" t="s">
        <v>759</v>
      </c>
      <c r="H4" t="s">
        <v>760</v>
      </c>
      <c r="I4" s="47" t="s">
        <v>60</v>
      </c>
    </row>
    <row r="5" spans="1:12">
      <c r="A5" s="47" t="s">
        <v>667</v>
      </c>
      <c r="B5" s="47" t="s">
        <v>668</v>
      </c>
      <c r="C5" s="47" t="s">
        <v>746</v>
      </c>
      <c r="D5" s="47" t="s">
        <v>761</v>
      </c>
      <c r="E5" s="47" t="s">
        <v>75</v>
      </c>
      <c r="F5" s="47"/>
      <c r="G5" t="s">
        <v>762</v>
      </c>
      <c r="H5" t="s">
        <v>763</v>
      </c>
      <c r="I5" s="47" t="s">
        <v>60</v>
      </c>
    </row>
    <row r="6" spans="1:12">
      <c r="A6" s="47" t="s">
        <v>670</v>
      </c>
      <c r="B6" s="47" t="s">
        <v>671</v>
      </c>
      <c r="C6" s="47" t="s">
        <v>746</v>
      </c>
      <c r="D6" s="47" t="s">
        <v>764</v>
      </c>
      <c r="E6" s="47" t="s">
        <v>75</v>
      </c>
      <c r="F6" s="47"/>
      <c r="G6" t="s">
        <v>765</v>
      </c>
      <c r="H6" t="s">
        <v>766</v>
      </c>
      <c r="I6" s="47" t="s">
        <v>60</v>
      </c>
    </row>
    <row r="7" spans="1:12">
      <c r="A7" s="47" t="s">
        <v>672</v>
      </c>
      <c r="B7" s="47" t="s">
        <v>673</v>
      </c>
      <c r="C7" s="47" t="s">
        <v>746</v>
      </c>
      <c r="D7" s="47" t="s">
        <v>767</v>
      </c>
      <c r="E7" s="47" t="s">
        <v>75</v>
      </c>
      <c r="F7" s="47"/>
      <c r="G7" t="s">
        <v>768</v>
      </c>
      <c r="H7" t="s">
        <v>769</v>
      </c>
      <c r="I7" s="47" t="s">
        <v>60</v>
      </c>
    </row>
    <row r="8" spans="1:12">
      <c r="A8" s="47" t="s">
        <v>374</v>
      </c>
      <c r="B8" s="47" t="s">
        <v>770</v>
      </c>
      <c r="C8" s="47" t="s">
        <v>771</v>
      </c>
      <c r="D8" s="47" t="s">
        <v>772</v>
      </c>
      <c r="E8" s="47" t="s">
        <v>75</v>
      </c>
      <c r="F8" s="47"/>
      <c r="G8" t="s">
        <v>773</v>
      </c>
      <c r="H8" t="s">
        <v>375</v>
      </c>
      <c r="I8" s="47" t="s">
        <v>60</v>
      </c>
    </row>
    <row r="9" spans="1:12">
      <c r="A9" s="47" t="s">
        <v>199</v>
      </c>
      <c r="B9" s="47" t="s">
        <v>774</v>
      </c>
      <c r="C9" s="47" t="s">
        <v>775</v>
      </c>
      <c r="D9" s="47" t="s">
        <v>776</v>
      </c>
      <c r="E9" s="47" t="s">
        <v>75</v>
      </c>
      <c r="F9" s="47"/>
      <c r="I9" t="s">
        <v>200</v>
      </c>
    </row>
    <row r="10" spans="1:12">
      <c r="A10" s="47" t="s">
        <v>777</v>
      </c>
      <c r="B10" s="47" t="s">
        <v>778</v>
      </c>
      <c r="C10" s="47" t="s">
        <v>779</v>
      </c>
      <c r="D10" s="47" t="s">
        <v>780</v>
      </c>
      <c r="E10" s="47" t="s">
        <v>75</v>
      </c>
      <c r="F10" s="47"/>
      <c r="G10" t="s">
        <v>781</v>
      </c>
      <c r="H10" t="s">
        <v>782</v>
      </c>
      <c r="I10" s="47" t="s">
        <v>60</v>
      </c>
    </row>
    <row r="11" spans="1:12">
      <c r="A11" s="47" t="s">
        <v>674</v>
      </c>
      <c r="B11" s="47" t="s">
        <v>675</v>
      </c>
      <c r="C11" s="47" t="s">
        <v>783</v>
      </c>
      <c r="D11" s="47" t="s">
        <v>784</v>
      </c>
      <c r="E11" s="47" t="s">
        <v>75</v>
      </c>
      <c r="F11" s="47"/>
      <c r="G11" t="s">
        <v>785</v>
      </c>
      <c r="H11" t="s">
        <v>786</v>
      </c>
      <c r="I11" s="47" t="s">
        <v>60</v>
      </c>
    </row>
    <row r="12" spans="1:12">
      <c r="A12" s="47" t="s">
        <v>363</v>
      </c>
      <c r="B12" s="47" t="s">
        <v>787</v>
      </c>
      <c r="C12" s="47" t="s">
        <v>788</v>
      </c>
      <c r="D12" s="47" t="s">
        <v>789</v>
      </c>
      <c r="E12" s="47" t="s">
        <v>75</v>
      </c>
      <c r="F12" s="47"/>
      <c r="I12" t="s">
        <v>200</v>
      </c>
    </row>
    <row r="13" spans="1:12">
      <c r="A13" s="47" t="s">
        <v>676</v>
      </c>
      <c r="B13" s="47" t="s">
        <v>677</v>
      </c>
      <c r="C13" s="47" t="s">
        <v>790</v>
      </c>
      <c r="D13" s="47" t="s">
        <v>791</v>
      </c>
      <c r="E13" s="47" t="s">
        <v>75</v>
      </c>
      <c r="F13" s="47"/>
      <c r="I13" t="s">
        <v>200</v>
      </c>
    </row>
    <row r="14" spans="1:12">
      <c r="A14" s="47" t="s">
        <v>253</v>
      </c>
      <c r="B14" s="47" t="s">
        <v>792</v>
      </c>
      <c r="C14" s="47" t="s">
        <v>788</v>
      </c>
      <c r="D14" s="47" t="s">
        <v>793</v>
      </c>
      <c r="E14" s="47" t="s">
        <v>75</v>
      </c>
      <c r="F14" s="47"/>
      <c r="I14" t="s">
        <v>200</v>
      </c>
    </row>
    <row r="15" spans="1:12">
      <c r="A15" s="47" t="s">
        <v>458</v>
      </c>
      <c r="B15" s="47" t="s">
        <v>794</v>
      </c>
      <c r="C15" s="47" t="s">
        <v>788</v>
      </c>
      <c r="D15" s="47" t="s">
        <v>795</v>
      </c>
      <c r="E15" s="47" t="s">
        <v>75</v>
      </c>
      <c r="F15" s="47"/>
      <c r="I15" t="s">
        <v>200</v>
      </c>
    </row>
    <row r="16" spans="1:12">
      <c r="A16" s="47" t="s">
        <v>796</v>
      </c>
      <c r="B16" s="47" t="s">
        <v>797</v>
      </c>
      <c r="C16" s="47" t="s">
        <v>798</v>
      </c>
      <c r="D16" s="47" t="s">
        <v>799</v>
      </c>
      <c r="E16" s="47" t="s">
        <v>75</v>
      </c>
      <c r="F16" s="47"/>
      <c r="G16" t="s">
        <v>800</v>
      </c>
      <c r="I16" s="47" t="s">
        <v>200</v>
      </c>
    </row>
    <row r="17" spans="1:9">
      <c r="A17" s="47" t="s">
        <v>146</v>
      </c>
      <c r="B17" s="47" t="s">
        <v>801</v>
      </c>
      <c r="C17" s="47" t="s">
        <v>802</v>
      </c>
      <c r="D17" s="47" t="s">
        <v>803</v>
      </c>
      <c r="E17" s="47" t="s">
        <v>75</v>
      </c>
      <c r="F17" s="47"/>
      <c r="G17" t="s">
        <v>804</v>
      </c>
      <c r="H17" t="s">
        <v>805</v>
      </c>
      <c r="I17" s="47" t="s">
        <v>60</v>
      </c>
    </row>
    <row r="18" spans="1:9">
      <c r="A18" s="47" t="s">
        <v>806</v>
      </c>
      <c r="B18" s="47" t="s">
        <v>807</v>
      </c>
      <c r="C18" s="47" t="s">
        <v>802</v>
      </c>
      <c r="D18" s="47" t="s">
        <v>808</v>
      </c>
      <c r="E18" s="47" t="s">
        <v>75</v>
      </c>
      <c r="F18" s="47"/>
      <c r="G18" t="s">
        <v>809</v>
      </c>
      <c r="H18" t="s">
        <v>810</v>
      </c>
      <c r="I18" s="47" t="s">
        <v>60</v>
      </c>
    </row>
    <row r="19" spans="1:9">
      <c r="A19" s="47" t="s">
        <v>811</v>
      </c>
      <c r="B19" s="47" t="s">
        <v>812</v>
      </c>
      <c r="C19" s="47" t="s">
        <v>802</v>
      </c>
      <c r="D19" s="47" t="s">
        <v>808</v>
      </c>
      <c r="E19" s="47" t="s">
        <v>75</v>
      </c>
      <c r="F19" s="47"/>
      <c r="G19" t="s">
        <v>813</v>
      </c>
      <c r="H19" t="s">
        <v>814</v>
      </c>
      <c r="I19" s="47" t="s">
        <v>60</v>
      </c>
    </row>
    <row r="20" spans="1:9">
      <c r="A20" s="47" t="s">
        <v>79</v>
      </c>
      <c r="B20" s="47" t="s">
        <v>76</v>
      </c>
      <c r="C20" s="47" t="s">
        <v>815</v>
      </c>
      <c r="D20" s="47" t="s">
        <v>816</v>
      </c>
      <c r="E20" s="48" t="s">
        <v>75</v>
      </c>
      <c r="F20" s="47"/>
      <c r="G20" t="s">
        <v>817</v>
      </c>
      <c r="I20" s="47" t="s">
        <v>60</v>
      </c>
    </row>
    <row r="21" spans="1:9">
      <c r="A21" s="47" t="s">
        <v>96</v>
      </c>
      <c r="B21" s="47" t="s">
        <v>818</v>
      </c>
      <c r="C21" s="47" t="s">
        <v>819</v>
      </c>
      <c r="D21" s="47" t="s">
        <v>820</v>
      </c>
      <c r="E21" s="48" t="s">
        <v>75</v>
      </c>
      <c r="F21" s="47"/>
      <c r="G21" t="s">
        <v>821</v>
      </c>
      <c r="I21" s="47" t="s">
        <v>60</v>
      </c>
    </row>
    <row r="22" spans="1:9">
      <c r="A22" s="47" t="s">
        <v>681</v>
      </c>
      <c r="B22" s="47" t="s">
        <v>682</v>
      </c>
      <c r="C22" s="47" t="s">
        <v>771</v>
      </c>
      <c r="D22" s="47" t="s">
        <v>822</v>
      </c>
      <c r="E22" s="47" t="s">
        <v>75</v>
      </c>
      <c r="F22" s="47"/>
      <c r="G22" t="s">
        <v>823</v>
      </c>
      <c r="H22" t="s">
        <v>824</v>
      </c>
      <c r="I22" s="47" t="s">
        <v>60</v>
      </c>
    </row>
    <row r="23" spans="1:9">
      <c r="A23" s="47" t="s">
        <v>683</v>
      </c>
      <c r="B23" s="47" t="s">
        <v>684</v>
      </c>
      <c r="C23" s="47" t="s">
        <v>771</v>
      </c>
      <c r="D23" s="47" t="s">
        <v>825</v>
      </c>
      <c r="E23" s="47" t="s">
        <v>75</v>
      </c>
      <c r="F23" s="47"/>
      <c r="G23" t="s">
        <v>826</v>
      </c>
      <c r="H23" t="s">
        <v>827</v>
      </c>
      <c r="I23" s="47" t="s">
        <v>60</v>
      </c>
    </row>
    <row r="24" spans="1:9">
      <c r="A24" s="47" t="s">
        <v>685</v>
      </c>
      <c r="B24" s="47" t="s">
        <v>686</v>
      </c>
      <c r="C24" s="47" t="s">
        <v>798</v>
      </c>
      <c r="D24" s="47" t="s">
        <v>828</v>
      </c>
      <c r="E24" s="47" t="s">
        <v>75</v>
      </c>
      <c r="F24" s="47"/>
      <c r="G24" t="s">
        <v>829</v>
      </c>
      <c r="H24" t="s">
        <v>830</v>
      </c>
      <c r="I24" s="47" t="s">
        <v>60</v>
      </c>
    </row>
    <row r="25" spans="1:9">
      <c r="A25" s="47" t="s">
        <v>687</v>
      </c>
      <c r="B25" s="47" t="s">
        <v>688</v>
      </c>
      <c r="C25" s="47" t="s">
        <v>798</v>
      </c>
      <c r="D25" s="47" t="s">
        <v>831</v>
      </c>
      <c r="E25" s="47" t="s">
        <v>75</v>
      </c>
      <c r="F25" s="47"/>
      <c r="G25" t="s">
        <v>832</v>
      </c>
      <c r="H25" t="s">
        <v>833</v>
      </c>
      <c r="I25" s="47" t="s">
        <v>60</v>
      </c>
    </row>
    <row r="26" spans="1:9">
      <c r="A26" s="47" t="s">
        <v>689</v>
      </c>
      <c r="B26" s="47" t="s">
        <v>690</v>
      </c>
      <c r="C26" s="47" t="s">
        <v>798</v>
      </c>
      <c r="D26" s="47" t="s">
        <v>831</v>
      </c>
      <c r="E26" s="47" t="s">
        <v>75</v>
      </c>
      <c r="F26" s="47"/>
      <c r="G26" t="s">
        <v>834</v>
      </c>
      <c r="H26" t="s">
        <v>835</v>
      </c>
      <c r="I26" s="47" t="s">
        <v>60</v>
      </c>
    </row>
    <row r="27" spans="1:9">
      <c r="A27" s="47" t="s">
        <v>691</v>
      </c>
      <c r="B27" s="47" t="s">
        <v>692</v>
      </c>
      <c r="C27" s="47" t="s">
        <v>815</v>
      </c>
      <c r="D27" s="47" t="s">
        <v>836</v>
      </c>
      <c r="E27" s="48" t="s">
        <v>75</v>
      </c>
      <c r="F27" s="47"/>
      <c r="G27" t="s">
        <v>837</v>
      </c>
      <c r="I27" s="47" t="s">
        <v>60</v>
      </c>
    </row>
    <row r="28" spans="1:9">
      <c r="A28" s="47" t="s">
        <v>693</v>
      </c>
      <c r="B28" s="47" t="s">
        <v>694</v>
      </c>
      <c r="C28" s="47" t="s">
        <v>798</v>
      </c>
      <c r="D28" s="47" t="s">
        <v>831</v>
      </c>
      <c r="E28" s="47" t="s">
        <v>75</v>
      </c>
      <c r="F28" s="47"/>
      <c r="G28" t="s">
        <v>838</v>
      </c>
      <c r="H28" t="s">
        <v>839</v>
      </c>
      <c r="I28" s="47" t="s">
        <v>60</v>
      </c>
    </row>
    <row r="29" spans="1:9">
      <c r="A29" s="47" t="s">
        <v>695</v>
      </c>
      <c r="B29" s="47" t="s">
        <v>696</v>
      </c>
      <c r="C29" s="47" t="s">
        <v>798</v>
      </c>
      <c r="D29" s="47" t="s">
        <v>840</v>
      </c>
      <c r="E29" s="47" t="s">
        <v>75</v>
      </c>
      <c r="F29" s="47"/>
      <c r="G29" t="s">
        <v>841</v>
      </c>
      <c r="H29" t="s">
        <v>842</v>
      </c>
      <c r="I29" s="47" t="s">
        <v>60</v>
      </c>
    </row>
    <row r="30" spans="1:9">
      <c r="A30" s="47" t="s">
        <v>843</v>
      </c>
      <c r="B30" s="47" t="s">
        <v>844</v>
      </c>
      <c r="C30" s="47" t="s">
        <v>798</v>
      </c>
      <c r="D30" s="47" t="s">
        <v>845</v>
      </c>
      <c r="E30" s="47" t="s">
        <v>75</v>
      </c>
      <c r="F30" s="47"/>
      <c r="G30" t="s">
        <v>846</v>
      </c>
      <c r="H30" t="s">
        <v>847</v>
      </c>
      <c r="I30" s="47" t="s">
        <v>60</v>
      </c>
    </row>
    <row r="31" spans="1:9">
      <c r="A31" s="47" t="s">
        <v>848</v>
      </c>
      <c r="B31" s="47" t="s">
        <v>849</v>
      </c>
      <c r="C31" s="47" t="s">
        <v>746</v>
      </c>
      <c r="D31" s="47" t="s">
        <v>850</v>
      </c>
      <c r="E31" s="47" t="s">
        <v>75</v>
      </c>
      <c r="F31" s="47"/>
      <c r="G31" t="s">
        <v>851</v>
      </c>
      <c r="H31" t="s">
        <v>852</v>
      </c>
      <c r="I31" s="47" t="s">
        <v>60</v>
      </c>
    </row>
    <row r="32" spans="1:9">
      <c r="A32" s="47" t="s">
        <v>853</v>
      </c>
      <c r="B32" s="47" t="s">
        <v>854</v>
      </c>
      <c r="C32" s="47" t="s">
        <v>746</v>
      </c>
      <c r="D32" s="47" t="s">
        <v>850</v>
      </c>
      <c r="E32" s="47" t="s">
        <v>75</v>
      </c>
      <c r="F32" s="47"/>
      <c r="G32" t="s">
        <v>855</v>
      </c>
      <c r="H32" t="s">
        <v>856</v>
      </c>
      <c r="I32" s="47" t="s">
        <v>60</v>
      </c>
    </row>
    <row r="33" spans="1:9">
      <c r="A33" s="47" t="s">
        <v>857</v>
      </c>
      <c r="B33" s="47" t="s">
        <v>858</v>
      </c>
      <c r="C33" s="47" t="s">
        <v>746</v>
      </c>
      <c r="D33" s="47" t="s">
        <v>850</v>
      </c>
      <c r="E33" s="47" t="s">
        <v>75</v>
      </c>
      <c r="F33" s="47"/>
      <c r="G33" t="s">
        <v>859</v>
      </c>
      <c r="H33" t="s">
        <v>860</v>
      </c>
      <c r="I33" s="47" t="s">
        <v>60</v>
      </c>
    </row>
    <row r="34" spans="1:9">
      <c r="A34" s="47" t="s">
        <v>861</v>
      </c>
      <c r="B34" s="47" t="s">
        <v>862</v>
      </c>
      <c r="C34" s="47" t="s">
        <v>746</v>
      </c>
      <c r="D34" s="47" t="s">
        <v>863</v>
      </c>
      <c r="E34" s="47" t="s">
        <v>75</v>
      </c>
      <c r="F34" s="47"/>
      <c r="G34" t="s">
        <v>864</v>
      </c>
      <c r="H34" t="s">
        <v>865</v>
      </c>
      <c r="I34" s="47" t="s">
        <v>60</v>
      </c>
    </row>
    <row r="35" spans="1:9">
      <c r="A35" s="47" t="s">
        <v>446</v>
      </c>
      <c r="B35" s="47" t="s">
        <v>866</v>
      </c>
      <c r="C35" s="47" t="s">
        <v>746</v>
      </c>
      <c r="D35" s="47" t="s">
        <v>867</v>
      </c>
      <c r="E35" s="47" t="s">
        <v>75</v>
      </c>
      <c r="F35" s="47"/>
      <c r="G35" t="s">
        <v>868</v>
      </c>
      <c r="H35" t="s">
        <v>869</v>
      </c>
      <c r="I35" s="47" t="s">
        <v>60</v>
      </c>
    </row>
    <row r="36" spans="1:9">
      <c r="A36" s="47" t="s">
        <v>452</v>
      </c>
      <c r="B36" s="47" t="s">
        <v>870</v>
      </c>
      <c r="C36" s="47" t="s">
        <v>871</v>
      </c>
      <c r="D36" s="47" t="s">
        <v>872</v>
      </c>
      <c r="E36" s="47" t="s">
        <v>75</v>
      </c>
      <c r="F36" s="47"/>
      <c r="G36" t="s">
        <v>873</v>
      </c>
      <c r="H36" t="s">
        <v>874</v>
      </c>
      <c r="I36" s="47" t="s">
        <v>60</v>
      </c>
    </row>
    <row r="37" spans="1:9">
      <c r="A37" s="47" t="s">
        <v>206</v>
      </c>
      <c r="B37" s="47" t="s">
        <v>875</v>
      </c>
      <c r="C37" s="47" t="s">
        <v>876</v>
      </c>
      <c r="D37" s="47" t="s">
        <v>877</v>
      </c>
      <c r="E37" s="47" t="s">
        <v>75</v>
      </c>
      <c r="F37" s="47"/>
      <c r="I37" t="s">
        <v>200</v>
      </c>
    </row>
    <row r="38" spans="1:9">
      <c r="A38" s="47" t="s">
        <v>878</v>
      </c>
      <c r="B38" s="47" t="s">
        <v>879</v>
      </c>
      <c r="C38" s="47" t="s">
        <v>880</v>
      </c>
      <c r="D38" s="47" t="s">
        <v>881</v>
      </c>
      <c r="E38" s="47" t="s">
        <v>75</v>
      </c>
      <c r="F38" s="47"/>
      <c r="I38" t="s">
        <v>200</v>
      </c>
    </row>
    <row r="39" spans="1:9">
      <c r="A39" s="47" t="s">
        <v>882</v>
      </c>
      <c r="B39" s="47" t="s">
        <v>883</v>
      </c>
      <c r="C39" s="47" t="s">
        <v>884</v>
      </c>
      <c r="D39" s="47" t="s">
        <v>885</v>
      </c>
      <c r="E39" s="47" t="s">
        <v>75</v>
      </c>
      <c r="F39" s="47"/>
      <c r="I39" t="s">
        <v>200</v>
      </c>
    </row>
    <row r="40" spans="1:9">
      <c r="A40" s="47" t="s">
        <v>312</v>
      </c>
      <c r="B40" s="47" t="s">
        <v>886</v>
      </c>
      <c r="C40" s="47" t="s">
        <v>788</v>
      </c>
      <c r="D40" s="47" t="s">
        <v>887</v>
      </c>
      <c r="E40" s="47" t="s">
        <v>75</v>
      </c>
      <c r="F40" s="47"/>
      <c r="I40" t="s">
        <v>200</v>
      </c>
    </row>
    <row r="41" spans="1:9">
      <c r="A41" s="47" t="s">
        <v>707</v>
      </c>
      <c r="B41" s="47" t="s">
        <v>708</v>
      </c>
      <c r="C41" s="47" t="s">
        <v>871</v>
      </c>
      <c r="D41" s="47" t="s">
        <v>888</v>
      </c>
      <c r="E41" s="47" t="s">
        <v>75</v>
      </c>
      <c r="F41" s="47"/>
      <c r="I41" t="s">
        <v>200</v>
      </c>
    </row>
    <row r="42" spans="1:9">
      <c r="A42" s="47" t="s">
        <v>889</v>
      </c>
      <c r="B42" s="47" t="s">
        <v>890</v>
      </c>
      <c r="C42" s="47" t="s">
        <v>880</v>
      </c>
      <c r="D42" s="47" t="s">
        <v>881</v>
      </c>
      <c r="E42" s="47" t="s">
        <v>75</v>
      </c>
      <c r="F42" s="47"/>
      <c r="I42" t="s">
        <v>200</v>
      </c>
    </row>
    <row r="43" spans="1:9">
      <c r="A43" s="47" t="s">
        <v>678</v>
      </c>
      <c r="B43" s="47" t="s">
        <v>679</v>
      </c>
      <c r="C43" s="47" t="s">
        <v>891</v>
      </c>
      <c r="D43" s="47" t="s">
        <v>892</v>
      </c>
      <c r="E43" s="47" t="s">
        <v>680</v>
      </c>
      <c r="F43" s="47" t="s">
        <v>893</v>
      </c>
      <c r="I43" s="47" t="s">
        <v>236</v>
      </c>
    </row>
    <row r="44" spans="1:9">
      <c r="A44" s="47" t="s">
        <v>280</v>
      </c>
      <c r="B44" s="47" t="s">
        <v>894</v>
      </c>
      <c r="C44" s="47" t="s">
        <v>895</v>
      </c>
      <c r="D44" s="47" t="s">
        <v>896</v>
      </c>
      <c r="E44" s="47" t="s">
        <v>680</v>
      </c>
      <c r="F44" s="47" t="s">
        <v>897</v>
      </c>
      <c r="I44" s="47" t="s">
        <v>236</v>
      </c>
    </row>
    <row r="45" spans="1:9">
      <c r="A45" s="47" t="s">
        <v>234</v>
      </c>
      <c r="B45" s="47" t="s">
        <v>898</v>
      </c>
      <c r="C45" s="47" t="s">
        <v>746</v>
      </c>
      <c r="D45" s="47" t="s">
        <v>899</v>
      </c>
      <c r="E45" s="47" t="s">
        <v>680</v>
      </c>
      <c r="F45" s="47" t="s">
        <v>900</v>
      </c>
      <c r="I45" s="47" t="s">
        <v>236</v>
      </c>
    </row>
    <row r="46" spans="1:9">
      <c r="A46" s="47" t="s">
        <v>699</v>
      </c>
      <c r="B46" s="47" t="s">
        <v>700</v>
      </c>
      <c r="C46" s="47" t="s">
        <v>871</v>
      </c>
      <c r="D46" s="47" t="s">
        <v>901</v>
      </c>
      <c r="E46" s="47" t="s">
        <v>680</v>
      </c>
      <c r="F46" s="47" t="s">
        <v>900</v>
      </c>
      <c r="I46" s="47" t="s">
        <v>236</v>
      </c>
    </row>
    <row r="47" spans="1:9">
      <c r="A47" s="47" t="s">
        <v>293</v>
      </c>
      <c r="B47" s="47" t="s">
        <v>902</v>
      </c>
      <c r="C47" s="47" t="s">
        <v>746</v>
      </c>
      <c r="D47" s="47" t="s">
        <v>903</v>
      </c>
      <c r="E47" s="47" t="s">
        <v>680</v>
      </c>
      <c r="F47" s="47" t="s">
        <v>900</v>
      </c>
      <c r="I47" s="47" t="s">
        <v>236</v>
      </c>
    </row>
    <row r="48" spans="1:9">
      <c r="A48" s="47" t="s">
        <v>904</v>
      </c>
      <c r="B48" s="47" t="s">
        <v>905</v>
      </c>
      <c r="C48" s="47" t="s">
        <v>906</v>
      </c>
      <c r="D48" s="47" t="s">
        <v>907</v>
      </c>
      <c r="E48" s="47" t="s">
        <v>680</v>
      </c>
      <c r="F48" s="47" t="s">
        <v>908</v>
      </c>
      <c r="I48" s="47" t="s">
        <v>236</v>
      </c>
    </row>
    <row r="49" spans="1:10">
      <c r="A49" t="s">
        <v>385</v>
      </c>
      <c r="B49" t="s">
        <v>909</v>
      </c>
      <c r="E49" t="s">
        <v>724</v>
      </c>
      <c r="G49" t="s">
        <v>910</v>
      </c>
      <c r="I49" s="47" t="s">
        <v>236</v>
      </c>
      <c r="J49" s="47" t="s">
        <v>911</v>
      </c>
    </row>
    <row r="50" spans="1:10">
      <c r="A50" s="47" t="s">
        <v>259</v>
      </c>
      <c r="B50" s="47" t="s">
        <v>912</v>
      </c>
      <c r="C50" s="47" t="s">
        <v>746</v>
      </c>
      <c r="D50" s="47" t="s">
        <v>767</v>
      </c>
      <c r="E50" s="47" t="s">
        <v>75</v>
      </c>
      <c r="F50" s="47"/>
      <c r="G50" t="s">
        <v>913</v>
      </c>
      <c r="H50" t="s">
        <v>914</v>
      </c>
      <c r="I50" s="47" t="s">
        <v>60</v>
      </c>
    </row>
    <row r="51" spans="1:10">
      <c r="A51" t="s">
        <v>915</v>
      </c>
      <c r="B51" t="s">
        <v>916</v>
      </c>
      <c r="E51" t="s">
        <v>724</v>
      </c>
      <c r="G51" t="s">
        <v>917</v>
      </c>
      <c r="I51" s="47" t="s">
        <v>236</v>
      </c>
      <c r="J51" t="s">
        <v>911</v>
      </c>
    </row>
    <row r="52" spans="1:10">
      <c r="A52" s="47" t="s">
        <v>703</v>
      </c>
      <c r="B52" s="47" t="s">
        <v>704</v>
      </c>
      <c r="C52" s="47" t="s">
        <v>918</v>
      </c>
      <c r="D52" s="47" t="s">
        <v>919</v>
      </c>
      <c r="E52" s="47" t="s">
        <v>75</v>
      </c>
      <c r="F52" s="47"/>
      <c r="G52" t="s">
        <v>920</v>
      </c>
      <c r="H52" t="s">
        <v>921</v>
      </c>
      <c r="I52" s="47" t="s">
        <v>60</v>
      </c>
    </row>
    <row r="53" spans="1:10">
      <c r="A53" s="47" t="s">
        <v>705</v>
      </c>
      <c r="B53" s="47" t="s">
        <v>706</v>
      </c>
      <c r="C53" s="47" t="s">
        <v>771</v>
      </c>
      <c r="D53" s="47" t="s">
        <v>922</v>
      </c>
      <c r="E53" s="47" t="s">
        <v>75</v>
      </c>
      <c r="F53" s="47"/>
      <c r="G53" t="s">
        <v>923</v>
      </c>
      <c r="H53" t="s">
        <v>924</v>
      </c>
      <c r="I53" s="47" t="s">
        <v>60</v>
      </c>
    </row>
    <row r="54" spans="1:10">
      <c r="A54" t="s">
        <v>722</v>
      </c>
      <c r="B54" t="s">
        <v>723</v>
      </c>
      <c r="E54" t="s">
        <v>724</v>
      </c>
      <c r="G54" t="s">
        <v>925</v>
      </c>
      <c r="I54" s="47" t="s">
        <v>236</v>
      </c>
      <c r="J54" t="s">
        <v>926</v>
      </c>
    </row>
    <row r="55" spans="1:10">
      <c r="A55" s="47" t="s">
        <v>129</v>
      </c>
      <c r="B55" s="47" t="s">
        <v>927</v>
      </c>
      <c r="C55" s="47" t="s">
        <v>779</v>
      </c>
      <c r="D55" s="47" t="s">
        <v>928</v>
      </c>
      <c r="E55" s="47" t="s">
        <v>75</v>
      </c>
      <c r="F55" s="47"/>
      <c r="G55" t="s">
        <v>929</v>
      </c>
      <c r="H55" t="s">
        <v>130</v>
      </c>
      <c r="I55" s="47" t="s">
        <v>60</v>
      </c>
    </row>
    <row r="56" spans="1:10">
      <c r="A56" s="47" t="s">
        <v>930</v>
      </c>
      <c r="B56" s="47" t="s">
        <v>931</v>
      </c>
      <c r="C56" s="47" t="s">
        <v>783</v>
      </c>
      <c r="D56" s="47" t="s">
        <v>932</v>
      </c>
      <c r="E56" s="47" t="s">
        <v>75</v>
      </c>
      <c r="F56" s="47"/>
      <c r="G56" t="s">
        <v>933</v>
      </c>
      <c r="H56" t="s">
        <v>934</v>
      </c>
      <c r="I56" s="47" t="s">
        <v>60</v>
      </c>
    </row>
    <row r="57" spans="1:10">
      <c r="A57" s="47" t="s">
        <v>935</v>
      </c>
      <c r="B57" s="47" t="s">
        <v>936</v>
      </c>
      <c r="C57" s="47" t="s">
        <v>937</v>
      </c>
      <c r="D57" s="47" t="s">
        <v>938</v>
      </c>
      <c r="E57" s="47" t="s">
        <v>75</v>
      </c>
      <c r="F57" s="47"/>
      <c r="G57" t="s">
        <v>939</v>
      </c>
      <c r="H57" t="s">
        <v>940</v>
      </c>
      <c r="I57" s="47" t="s">
        <v>60</v>
      </c>
    </row>
    <row r="58" spans="1:10">
      <c r="A58" t="s">
        <v>346</v>
      </c>
      <c r="B58" t="s">
        <v>941</v>
      </c>
      <c r="E58" t="s">
        <v>724</v>
      </c>
      <c r="G58" t="s">
        <v>942</v>
      </c>
      <c r="I58" s="47" t="s">
        <v>236</v>
      </c>
      <c r="J58" t="s">
        <v>926</v>
      </c>
    </row>
    <row r="59" spans="1:10">
      <c r="A59" s="47" t="s">
        <v>140</v>
      </c>
      <c r="B59" s="47" t="s">
        <v>943</v>
      </c>
      <c r="C59" s="47" t="s">
        <v>779</v>
      </c>
      <c r="D59" s="47" t="s">
        <v>928</v>
      </c>
      <c r="E59" s="47" t="s">
        <v>75</v>
      </c>
      <c r="F59" s="47"/>
      <c r="G59" t="s">
        <v>944</v>
      </c>
      <c r="H59" t="s">
        <v>169</v>
      </c>
      <c r="I59" s="47" t="s">
        <v>60</v>
      </c>
    </row>
    <row r="60" spans="1:10">
      <c r="A60" s="47" t="s">
        <v>709</v>
      </c>
      <c r="B60" s="47" t="s">
        <v>710</v>
      </c>
      <c r="C60" s="47" t="s">
        <v>945</v>
      </c>
      <c r="D60" s="47" t="s">
        <v>946</v>
      </c>
      <c r="E60" s="47" t="s">
        <v>680</v>
      </c>
      <c r="F60" s="47"/>
      <c r="I60" s="47" t="s">
        <v>711</v>
      </c>
    </row>
    <row r="61" spans="1:10">
      <c r="A61" s="47" t="s">
        <v>712</v>
      </c>
      <c r="B61" s="47" t="s">
        <v>713</v>
      </c>
      <c r="C61" s="47" t="s">
        <v>871</v>
      </c>
      <c r="D61" s="47" t="s">
        <v>947</v>
      </c>
      <c r="E61" s="47" t="s">
        <v>75</v>
      </c>
      <c r="F61" s="47"/>
      <c r="G61" t="s">
        <v>948</v>
      </c>
      <c r="H61" t="s">
        <v>949</v>
      </c>
      <c r="I61" s="47" t="s">
        <v>60</v>
      </c>
    </row>
    <row r="62" spans="1:10">
      <c r="A62" s="47" t="s">
        <v>714</v>
      </c>
      <c r="B62" s="47" t="s">
        <v>715</v>
      </c>
      <c r="C62" s="47" t="s">
        <v>950</v>
      </c>
      <c r="D62" s="47" t="s">
        <v>951</v>
      </c>
      <c r="E62" s="47" t="s">
        <v>680</v>
      </c>
      <c r="F62" s="47"/>
      <c r="I62" s="47" t="s">
        <v>711</v>
      </c>
    </row>
    <row r="63" spans="1:10">
      <c r="A63" t="s">
        <v>727</v>
      </c>
      <c r="B63" t="s">
        <v>728</v>
      </c>
      <c r="E63" t="s">
        <v>724</v>
      </c>
      <c r="G63" t="s">
        <v>952</v>
      </c>
      <c r="I63" s="47" t="s">
        <v>236</v>
      </c>
      <c r="J63" t="s">
        <v>926</v>
      </c>
    </row>
    <row r="64" spans="1:10">
      <c r="A64" s="47" t="s">
        <v>953</v>
      </c>
      <c r="B64" s="47" t="s">
        <v>954</v>
      </c>
      <c r="C64" s="47" t="s">
        <v>955</v>
      </c>
      <c r="D64" s="47" t="s">
        <v>820</v>
      </c>
      <c r="E64" s="47" t="s">
        <v>75</v>
      </c>
      <c r="F64" s="47"/>
      <c r="G64" t="s">
        <v>956</v>
      </c>
      <c r="H64" t="s">
        <v>957</v>
      </c>
      <c r="I64" s="47" t="s">
        <v>60</v>
      </c>
    </row>
    <row r="65" spans="1:12">
      <c r="A65" s="47" t="s">
        <v>958</v>
      </c>
      <c r="B65" s="47" t="s">
        <v>959</v>
      </c>
      <c r="C65" s="47" t="s">
        <v>960</v>
      </c>
      <c r="D65" s="47" t="s">
        <v>961</v>
      </c>
      <c r="E65" s="47" t="s">
        <v>75</v>
      </c>
      <c r="F65" s="47"/>
      <c r="G65" t="s">
        <v>962</v>
      </c>
      <c r="H65" t="s">
        <v>963</v>
      </c>
      <c r="I65" s="47" t="s">
        <v>60</v>
      </c>
    </row>
    <row r="66" spans="1:12">
      <c r="A66" s="47" t="s">
        <v>134</v>
      </c>
      <c r="B66" s="47" t="s">
        <v>964</v>
      </c>
      <c r="C66" s="47" t="s">
        <v>965</v>
      </c>
      <c r="D66" s="47" t="s">
        <v>966</v>
      </c>
      <c r="E66" s="47" t="s">
        <v>75</v>
      </c>
      <c r="F66" s="47"/>
      <c r="G66" t="s">
        <v>967</v>
      </c>
      <c r="H66" t="s">
        <v>968</v>
      </c>
      <c r="I66" s="47" t="s">
        <v>60</v>
      </c>
    </row>
    <row r="67" spans="1:12">
      <c r="A67" s="47" t="s">
        <v>969</v>
      </c>
      <c r="B67" s="47" t="s">
        <v>970</v>
      </c>
      <c r="C67" s="47" t="s">
        <v>971</v>
      </c>
      <c r="D67" s="47" t="s">
        <v>972</v>
      </c>
      <c r="E67" s="47" t="s">
        <v>75</v>
      </c>
      <c r="F67" s="47"/>
      <c r="G67" t="s">
        <v>973</v>
      </c>
      <c r="H67" t="s">
        <v>974</v>
      </c>
      <c r="I67" s="47" t="s">
        <v>60</v>
      </c>
    </row>
    <row r="68" spans="1:12">
      <c r="A68" s="47" t="s">
        <v>975</v>
      </c>
      <c r="B68" s="47" t="s">
        <v>976</v>
      </c>
      <c r="C68" s="47" t="s">
        <v>895</v>
      </c>
      <c r="D68" s="47" t="s">
        <v>977</v>
      </c>
      <c r="E68" s="47" t="s">
        <v>680</v>
      </c>
      <c r="F68" s="47" t="s">
        <v>978</v>
      </c>
      <c r="I68" s="47" t="s">
        <v>89</v>
      </c>
    </row>
    <row r="69" spans="1:12">
      <c r="A69" s="47" t="s">
        <v>979</v>
      </c>
      <c r="B69" s="47" t="s">
        <v>980</v>
      </c>
      <c r="C69" s="47" t="s">
        <v>981</v>
      </c>
      <c r="D69" s="47" t="s">
        <v>982</v>
      </c>
      <c r="E69" s="47" t="s">
        <v>75</v>
      </c>
      <c r="F69" s="47"/>
      <c r="G69" t="s">
        <v>983</v>
      </c>
      <c r="H69" t="s">
        <v>984</v>
      </c>
      <c r="I69" s="47" t="s">
        <v>60</v>
      </c>
    </row>
    <row r="70" spans="1:12">
      <c r="A70" s="47" t="s">
        <v>697</v>
      </c>
      <c r="B70" s="47" t="s">
        <v>698</v>
      </c>
      <c r="C70" s="47" t="s">
        <v>746</v>
      </c>
      <c r="D70" s="47" t="s">
        <v>985</v>
      </c>
      <c r="E70" s="47" t="s">
        <v>680</v>
      </c>
      <c r="F70" s="47" t="s">
        <v>986</v>
      </c>
      <c r="I70" s="47" t="s">
        <v>89</v>
      </c>
    </row>
    <row r="71" spans="1:12">
      <c r="A71" s="47" t="s">
        <v>987</v>
      </c>
      <c r="B71" s="47" t="s">
        <v>988</v>
      </c>
      <c r="C71" s="47" t="s">
        <v>871</v>
      </c>
      <c r="D71" s="47" t="s">
        <v>989</v>
      </c>
      <c r="E71" s="47" t="s">
        <v>680</v>
      </c>
      <c r="F71" s="47" t="s">
        <v>900</v>
      </c>
      <c r="I71" s="47" t="s">
        <v>89</v>
      </c>
    </row>
    <row r="72" spans="1:12">
      <c r="A72" s="47" t="s">
        <v>701</v>
      </c>
      <c r="B72" s="47" t="s">
        <v>702</v>
      </c>
      <c r="C72" s="47" t="s">
        <v>746</v>
      </c>
      <c r="D72" s="47" t="s">
        <v>990</v>
      </c>
      <c r="E72" s="47" t="s">
        <v>680</v>
      </c>
      <c r="F72" s="47" t="s">
        <v>991</v>
      </c>
      <c r="I72" s="47" t="s">
        <v>89</v>
      </c>
    </row>
    <row r="73" spans="1:12">
      <c r="A73" s="47" t="s">
        <v>992</v>
      </c>
      <c r="B73" s="47" t="s">
        <v>993</v>
      </c>
      <c r="C73" s="47" t="s">
        <v>994</v>
      </c>
      <c r="D73" s="47" t="s">
        <v>995</v>
      </c>
      <c r="E73" s="47" t="s">
        <v>680</v>
      </c>
      <c r="F73" s="47" t="s">
        <v>996</v>
      </c>
      <c r="I73" s="47" t="s">
        <v>89</v>
      </c>
    </row>
    <row r="74" spans="1:12">
      <c r="A74" t="s">
        <v>102</v>
      </c>
      <c r="B74" t="s">
        <v>997</v>
      </c>
      <c r="E74" t="s">
        <v>720</v>
      </c>
      <c r="G74" t="s">
        <v>998</v>
      </c>
      <c r="H74" t="s">
        <v>103</v>
      </c>
      <c r="I74" s="47" t="s">
        <v>60</v>
      </c>
      <c r="J74" t="s">
        <v>999</v>
      </c>
    </row>
    <row r="75" spans="1:12">
      <c r="A75" t="s">
        <v>62</v>
      </c>
      <c r="B75" t="s">
        <v>1000</v>
      </c>
      <c r="E75" s="49" t="s">
        <v>75</v>
      </c>
      <c r="G75" t="s">
        <v>1001</v>
      </c>
      <c r="I75" s="47" t="s">
        <v>60</v>
      </c>
      <c r="J75" t="s">
        <v>999</v>
      </c>
    </row>
    <row r="76" spans="1:12">
      <c r="A76" s="47" t="s">
        <v>716</v>
      </c>
      <c r="B76" s="47" t="s">
        <v>717</v>
      </c>
      <c r="C76" s="47" t="s">
        <v>871</v>
      </c>
      <c r="D76" s="47" t="s">
        <v>1002</v>
      </c>
      <c r="E76" s="47" t="s">
        <v>680</v>
      </c>
      <c r="F76" s="47" t="s">
        <v>1003</v>
      </c>
      <c r="I76" s="47" t="s">
        <v>89</v>
      </c>
    </row>
    <row r="77" spans="1:12">
      <c r="A77" s="47" t="s">
        <v>158</v>
      </c>
      <c r="B77" s="47" t="s">
        <v>1004</v>
      </c>
      <c r="C77" s="47" t="s">
        <v>1005</v>
      </c>
      <c r="D77" s="47" t="s">
        <v>1006</v>
      </c>
      <c r="E77" s="47" t="s">
        <v>680</v>
      </c>
      <c r="F77" s="47" t="s">
        <v>1007</v>
      </c>
      <c r="I77" s="47" t="s">
        <v>89</v>
      </c>
    </row>
    <row r="78" spans="1:12">
      <c r="A78" t="s">
        <v>318</v>
      </c>
      <c r="B78" t="s">
        <v>1008</v>
      </c>
      <c r="E78" t="s">
        <v>720</v>
      </c>
      <c r="G78" t="s">
        <v>1009</v>
      </c>
      <c r="H78" t="s">
        <v>319</v>
      </c>
      <c r="I78" s="47" t="s">
        <v>60</v>
      </c>
      <c r="J78" t="s">
        <v>1010</v>
      </c>
      <c r="K78" t="s">
        <v>1011</v>
      </c>
      <c r="L78" t="s">
        <v>1012</v>
      </c>
    </row>
    <row r="79" spans="1:12">
      <c r="A79" s="47" t="s">
        <v>428</v>
      </c>
      <c r="B79" s="47" t="s">
        <v>1013</v>
      </c>
      <c r="C79" s="47" t="s">
        <v>1014</v>
      </c>
      <c r="D79" s="47" t="s">
        <v>1015</v>
      </c>
      <c r="E79" s="47" t="s">
        <v>680</v>
      </c>
      <c r="F79" s="47" t="s">
        <v>1016</v>
      </c>
      <c r="I79" s="47" t="s">
        <v>89</v>
      </c>
    </row>
    <row r="80" spans="1:12">
      <c r="A80" s="47" t="s">
        <v>440</v>
      </c>
      <c r="B80" s="47" t="s">
        <v>1017</v>
      </c>
      <c r="C80" s="47" t="s">
        <v>1018</v>
      </c>
      <c r="D80" s="47" t="s">
        <v>1019</v>
      </c>
      <c r="E80" s="47" t="s">
        <v>680</v>
      </c>
      <c r="F80" s="47" t="s">
        <v>1020</v>
      </c>
      <c r="I80" s="47" t="s">
        <v>89</v>
      </c>
    </row>
    <row r="81" spans="1:10">
      <c r="A81" t="s">
        <v>421</v>
      </c>
      <c r="B81" t="s">
        <v>1021</v>
      </c>
      <c r="E81" t="s">
        <v>1022</v>
      </c>
      <c r="G81" t="s">
        <v>1023</v>
      </c>
      <c r="H81" t="s">
        <v>1024</v>
      </c>
      <c r="I81" s="47" t="s">
        <v>60</v>
      </c>
      <c r="J81" t="s">
        <v>911</v>
      </c>
    </row>
    <row r="82" spans="1:10">
      <c r="A82" s="47" t="s">
        <v>217</v>
      </c>
      <c r="B82" s="47" t="s">
        <v>1025</v>
      </c>
      <c r="C82" s="47" t="s">
        <v>1026</v>
      </c>
      <c r="D82" s="47" t="s">
        <v>1027</v>
      </c>
      <c r="E82" s="47" t="s">
        <v>680</v>
      </c>
      <c r="F82" s="47" t="s">
        <v>1028</v>
      </c>
      <c r="I82" s="47" t="s">
        <v>89</v>
      </c>
    </row>
    <row r="83" spans="1:10">
      <c r="A83" s="50" t="s">
        <v>192</v>
      </c>
      <c r="B83" s="50" t="s">
        <v>1029</v>
      </c>
      <c r="E83" t="s">
        <v>680</v>
      </c>
      <c r="I83" s="51" t="s">
        <v>89</v>
      </c>
      <c r="J83" s="50" t="s">
        <v>999</v>
      </c>
    </row>
    <row r="84" spans="1:10">
      <c r="A84" s="50" t="s">
        <v>325</v>
      </c>
      <c r="B84" s="50" t="s">
        <v>1030</v>
      </c>
      <c r="E84" t="s">
        <v>680</v>
      </c>
      <c r="I84" s="51" t="s">
        <v>89</v>
      </c>
      <c r="J84" s="50" t="s">
        <v>999</v>
      </c>
    </row>
    <row r="85" spans="1:10">
      <c r="A85" t="s">
        <v>122</v>
      </c>
      <c r="B85" t="s">
        <v>1031</v>
      </c>
      <c r="E85" t="s">
        <v>680</v>
      </c>
      <c r="I85" s="47" t="s">
        <v>89</v>
      </c>
      <c r="J85" t="s">
        <v>1010</v>
      </c>
    </row>
    <row r="86" spans="1:10">
      <c r="A86" t="s">
        <v>718</v>
      </c>
      <c r="B86" t="s">
        <v>719</v>
      </c>
      <c r="E86" t="s">
        <v>720</v>
      </c>
      <c r="G86" t="s">
        <v>1032</v>
      </c>
      <c r="H86" t="s">
        <v>1033</v>
      </c>
      <c r="I86" s="47" t="s">
        <v>60</v>
      </c>
      <c r="J86" t="s">
        <v>926</v>
      </c>
    </row>
    <row r="87" spans="1:10">
      <c r="A87" t="s">
        <v>1034</v>
      </c>
      <c r="B87" t="s">
        <v>1035</v>
      </c>
      <c r="E87" t="s">
        <v>680</v>
      </c>
      <c r="I87" s="47" t="s">
        <v>89</v>
      </c>
      <c r="J87" t="s">
        <v>1010</v>
      </c>
    </row>
    <row r="88" spans="1:10">
      <c r="A88" t="s">
        <v>184</v>
      </c>
      <c r="B88" t="s">
        <v>1036</v>
      </c>
      <c r="E88" t="s">
        <v>680</v>
      </c>
      <c r="I88" s="47" t="s">
        <v>89</v>
      </c>
      <c r="J88" t="s">
        <v>911</v>
      </c>
    </row>
    <row r="89" spans="1:10">
      <c r="A89" t="s">
        <v>411</v>
      </c>
      <c r="B89" t="s">
        <v>1037</v>
      </c>
      <c r="E89" t="s">
        <v>720</v>
      </c>
      <c r="G89" t="s">
        <v>1038</v>
      </c>
      <c r="H89" t="s">
        <v>412</v>
      </c>
      <c r="I89" s="47" t="s">
        <v>60</v>
      </c>
      <c r="J89" t="s">
        <v>926</v>
      </c>
    </row>
    <row r="90" spans="1:10">
      <c r="A90" t="s">
        <v>725</v>
      </c>
      <c r="B90" t="s">
        <v>726</v>
      </c>
      <c r="E90" t="s">
        <v>720</v>
      </c>
      <c r="G90" t="s">
        <v>1039</v>
      </c>
      <c r="H90" t="s">
        <v>1040</v>
      </c>
      <c r="I90" s="47" t="s">
        <v>60</v>
      </c>
      <c r="J90" t="s">
        <v>926</v>
      </c>
    </row>
    <row r="91" spans="1:10">
      <c r="A91" t="s">
        <v>434</v>
      </c>
      <c r="B91" t="s">
        <v>1041</v>
      </c>
      <c r="E91" t="s">
        <v>1042</v>
      </c>
      <c r="G91" t="s">
        <v>1043</v>
      </c>
      <c r="H91" t="s">
        <v>1044</v>
      </c>
      <c r="I91" s="47" t="s">
        <v>89</v>
      </c>
      <c r="J91" t="s">
        <v>911</v>
      </c>
    </row>
    <row r="92" spans="1:10">
      <c r="A92" t="s">
        <v>406</v>
      </c>
      <c r="B92" t="s">
        <v>1045</v>
      </c>
      <c r="E92" t="s">
        <v>680</v>
      </c>
      <c r="G92" t="s">
        <v>1046</v>
      </c>
      <c r="I92" s="47" t="s">
        <v>89</v>
      </c>
      <c r="J92" t="s">
        <v>926</v>
      </c>
    </row>
    <row r="93" spans="1:10">
      <c r="A93" t="s">
        <v>1047</v>
      </c>
      <c r="B93" t="s">
        <v>1048</v>
      </c>
      <c r="E93" t="s">
        <v>680</v>
      </c>
      <c r="I93" s="47" t="s">
        <v>89</v>
      </c>
      <c r="J93" t="s">
        <v>1049</v>
      </c>
    </row>
    <row r="94" spans="1:10">
      <c r="A94" t="s">
        <v>164</v>
      </c>
      <c r="B94" t="s">
        <v>1050</v>
      </c>
      <c r="E94" t="s">
        <v>720</v>
      </c>
      <c r="G94" t="s">
        <v>1051</v>
      </c>
      <c r="H94" t="s">
        <v>1052</v>
      </c>
      <c r="I94" s="47" t="s">
        <v>60</v>
      </c>
      <c r="J94" t="s">
        <v>1049</v>
      </c>
    </row>
    <row r="95" spans="1:10">
      <c r="A95" t="s">
        <v>335</v>
      </c>
      <c r="B95" t="s">
        <v>1053</v>
      </c>
      <c r="E95" t="s">
        <v>680</v>
      </c>
      <c r="G95" t="s">
        <v>1054</v>
      </c>
      <c r="I95" s="47" t="s">
        <v>89</v>
      </c>
      <c r="J95" t="s">
        <v>1049</v>
      </c>
    </row>
    <row r="96" spans="1:10">
      <c r="A96" t="s">
        <v>1055</v>
      </c>
      <c r="B96" t="s">
        <v>1056</v>
      </c>
      <c r="E96" t="s">
        <v>680</v>
      </c>
      <c r="G96" t="s">
        <v>1057</v>
      </c>
      <c r="I96" s="47" t="s">
        <v>89</v>
      </c>
      <c r="J96" t="s">
        <v>1049</v>
      </c>
    </row>
    <row r="97" spans="1:10">
      <c r="A97" t="s">
        <v>341</v>
      </c>
      <c r="B97" t="s">
        <v>1058</v>
      </c>
      <c r="E97" t="s">
        <v>680</v>
      </c>
      <c r="G97" t="s">
        <v>1059</v>
      </c>
      <c r="I97" s="47" t="s">
        <v>89</v>
      </c>
      <c r="J97" t="s">
        <v>1060</v>
      </c>
    </row>
    <row r="98" spans="1:10">
      <c r="A98" t="s">
        <v>729</v>
      </c>
      <c r="B98" t="s">
        <v>730</v>
      </c>
      <c r="E98" t="s">
        <v>680</v>
      </c>
      <c r="G98" t="s">
        <v>1061</v>
      </c>
      <c r="I98" s="47" t="s">
        <v>89</v>
      </c>
      <c r="J98" t="s">
        <v>1062</v>
      </c>
    </row>
    <row r="99" spans="1:10">
      <c r="A99" t="s">
        <v>732</v>
      </c>
      <c r="B99" t="s">
        <v>733</v>
      </c>
      <c r="E99" t="s">
        <v>680</v>
      </c>
      <c r="G99" t="s">
        <v>1063</v>
      </c>
      <c r="I99" s="47" t="s">
        <v>89</v>
      </c>
      <c r="J99" t="s">
        <v>1062</v>
      </c>
    </row>
    <row r="100" spans="1:10">
      <c r="A100" t="s">
        <v>734</v>
      </c>
      <c r="B100" t="s">
        <v>735</v>
      </c>
      <c r="E100" t="s">
        <v>680</v>
      </c>
      <c r="I100" s="47" t="s">
        <v>89</v>
      </c>
      <c r="J100" t="s">
        <v>1062</v>
      </c>
    </row>
    <row r="101" spans="1:10">
      <c r="A101" s="47" t="s">
        <v>1064</v>
      </c>
      <c r="B101" s="47" t="s">
        <v>1065</v>
      </c>
      <c r="I101" s="47" t="s">
        <v>89</v>
      </c>
      <c r="J101" t="s">
        <v>1066</v>
      </c>
    </row>
    <row r="102" spans="1:10">
      <c r="A102" s="47" t="s">
        <v>109</v>
      </c>
      <c r="B102" s="47" t="s">
        <v>1067</v>
      </c>
      <c r="I102" s="47" t="s">
        <v>89</v>
      </c>
      <c r="J102" t="s">
        <v>1066</v>
      </c>
    </row>
    <row r="103" spans="1:10">
      <c r="A103" s="47" t="s">
        <v>1068</v>
      </c>
      <c r="B103" s="47" t="s">
        <v>1069</v>
      </c>
      <c r="I103" s="47" t="s">
        <v>89</v>
      </c>
      <c r="J103" t="s">
        <v>1066</v>
      </c>
    </row>
    <row r="104" spans="1:10">
      <c r="A104" s="47" t="s">
        <v>266</v>
      </c>
      <c r="B104" s="47" t="s">
        <v>1070</v>
      </c>
      <c r="I104" s="47" t="s">
        <v>89</v>
      </c>
      <c r="J104" t="s">
        <v>1066</v>
      </c>
    </row>
    <row r="105" spans="1:10">
      <c r="A105" s="47" t="s">
        <v>1071</v>
      </c>
      <c r="B105" s="47" t="s">
        <v>1072</v>
      </c>
      <c r="I105" s="47" t="s">
        <v>89</v>
      </c>
      <c r="J105" t="s">
        <v>1066</v>
      </c>
    </row>
    <row r="106" spans="1:10">
      <c r="A106" s="47" t="s">
        <v>1073</v>
      </c>
      <c r="B106" s="47" t="s">
        <v>1074</v>
      </c>
      <c r="I106" s="47" t="s">
        <v>89</v>
      </c>
      <c r="J106" t="s">
        <v>1066</v>
      </c>
    </row>
    <row r="107" spans="1:10">
      <c r="A107" s="47" t="s">
        <v>1075</v>
      </c>
      <c r="B107" s="47" t="s">
        <v>1076</v>
      </c>
      <c r="I107" s="47" t="s">
        <v>89</v>
      </c>
      <c r="J107" t="s">
        <v>1066</v>
      </c>
    </row>
    <row r="108" spans="1:10">
      <c r="A108" s="47" t="s">
        <v>229</v>
      </c>
      <c r="B108" s="47" t="s">
        <v>1077</v>
      </c>
      <c r="I108" s="47" t="s">
        <v>89</v>
      </c>
      <c r="J108" t="s">
        <v>1066</v>
      </c>
    </row>
    <row r="109" spans="1:10">
      <c r="A109" s="47" t="s">
        <v>1078</v>
      </c>
      <c r="B109" s="47" t="s">
        <v>1079</v>
      </c>
      <c r="I109" s="47" t="s">
        <v>89</v>
      </c>
      <c r="J109" t="s">
        <v>1066</v>
      </c>
    </row>
    <row r="110" spans="1:10">
      <c r="A110" s="47" t="s">
        <v>354</v>
      </c>
      <c r="B110" s="47" t="s">
        <v>1080</v>
      </c>
      <c r="I110" s="47" t="s">
        <v>89</v>
      </c>
      <c r="J110" t="s">
        <v>1066</v>
      </c>
    </row>
    <row r="111" spans="1:10">
      <c r="A111" s="47" t="s">
        <v>395</v>
      </c>
      <c r="B111" s="47" t="s">
        <v>1081</v>
      </c>
      <c r="I111" s="47" t="s">
        <v>89</v>
      </c>
      <c r="J111" t="s">
        <v>1066</v>
      </c>
    </row>
    <row r="112" spans="1:10">
      <c r="A112" s="47" t="s">
        <v>391</v>
      </c>
      <c r="B112" s="47" t="s">
        <v>1082</v>
      </c>
      <c r="I112" s="47" t="s">
        <v>89</v>
      </c>
      <c r="J112" t="s">
        <v>1066</v>
      </c>
    </row>
    <row r="113" spans="1:10">
      <c r="A113" s="47" t="s">
        <v>1083</v>
      </c>
      <c r="B113" s="47" t="s">
        <v>1084</v>
      </c>
      <c r="I113" s="47" t="s">
        <v>89</v>
      </c>
      <c r="J113" t="s">
        <v>1066</v>
      </c>
    </row>
    <row r="114" spans="1:10">
      <c r="A114" s="47" t="s">
        <v>1085</v>
      </c>
      <c r="B114" s="47" t="s">
        <v>1086</v>
      </c>
      <c r="I114" s="47" t="s">
        <v>89</v>
      </c>
      <c r="J114" t="s">
        <v>1066</v>
      </c>
    </row>
    <row r="115" spans="1:10">
      <c r="A115" s="47" t="s">
        <v>1087</v>
      </c>
      <c r="B115" s="47" t="s">
        <v>1088</v>
      </c>
      <c r="I115" s="47" t="s">
        <v>89</v>
      </c>
      <c r="J115" t="s">
        <v>1066</v>
      </c>
    </row>
    <row r="116" spans="1:10">
      <c r="A116" s="47" t="s">
        <v>1089</v>
      </c>
      <c r="B116" s="47" t="s">
        <v>1090</v>
      </c>
      <c r="I116" s="47" t="s">
        <v>89</v>
      </c>
      <c r="J116" t="s">
        <v>1066</v>
      </c>
    </row>
    <row r="117" spans="1:10">
      <c r="A117" s="47" t="s">
        <v>1091</v>
      </c>
      <c r="B117" s="47" t="s">
        <v>1092</v>
      </c>
      <c r="I117" s="47" t="s">
        <v>89</v>
      </c>
      <c r="J117" t="s">
        <v>1066</v>
      </c>
    </row>
    <row r="118" spans="1:10">
      <c r="A118" s="47" t="s">
        <v>368</v>
      </c>
      <c r="B118" s="47" t="s">
        <v>1093</v>
      </c>
      <c r="I118" s="47" t="s">
        <v>89</v>
      </c>
      <c r="J118" t="s">
        <v>1066</v>
      </c>
    </row>
    <row r="119" spans="1:10">
      <c r="A119" s="47" t="s">
        <v>1094</v>
      </c>
      <c r="B119" s="47" t="s">
        <v>1095</v>
      </c>
      <c r="I119" s="47" t="s">
        <v>89</v>
      </c>
      <c r="J119" t="s">
        <v>1066</v>
      </c>
    </row>
    <row r="120" spans="1:10">
      <c r="A120" s="47" t="s">
        <v>1096</v>
      </c>
      <c r="B120" s="47" t="s">
        <v>1097</v>
      </c>
      <c r="I120" s="47" t="s">
        <v>89</v>
      </c>
      <c r="J120" t="s">
        <v>1066</v>
      </c>
    </row>
    <row r="121" spans="1:10">
      <c r="A121" s="47" t="s">
        <v>1098</v>
      </c>
      <c r="B121" s="47" t="s">
        <v>1099</v>
      </c>
      <c r="I121" s="47" t="s">
        <v>89</v>
      </c>
      <c r="J121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e3013b-b93f-496a-b5cc-583ec737ab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6C6B35D0BDB4ABF56F11C4CFE4E28" ma:contentTypeVersion="13" ma:contentTypeDescription="Create a new document." ma:contentTypeScope="" ma:versionID="6c6005445f092ecd3423c00108453e5e">
  <xsd:schema xmlns:xsd="http://www.w3.org/2001/XMLSchema" xmlns:xs="http://www.w3.org/2001/XMLSchema" xmlns:p="http://schemas.microsoft.com/office/2006/metadata/properties" xmlns:ns3="f1e3013b-b93f-496a-b5cc-583ec737ab0b" xmlns:ns4="af77c328-de86-4b5f-a5c2-ffa5383434fb" targetNamespace="http://schemas.microsoft.com/office/2006/metadata/properties" ma:root="true" ma:fieldsID="9762409559bede6584f3aed33be7f0cd" ns3:_="" ns4:_="">
    <xsd:import namespace="f1e3013b-b93f-496a-b5cc-583ec737ab0b"/>
    <xsd:import namespace="af77c328-de86-4b5f-a5c2-ffa5383434fb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3013b-b93f-496a-b5cc-583ec737ab0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7c328-de86-4b5f-a5c2-ffa5383434f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4B90F9-7FB0-4840-9FFD-2EAB05117468}"/>
</file>

<file path=customXml/itemProps2.xml><?xml version="1.0" encoding="utf-8"?>
<ds:datastoreItem xmlns:ds="http://schemas.openxmlformats.org/officeDocument/2006/customXml" ds:itemID="{E79316C8-3351-49F7-A3E8-33B996385791}"/>
</file>

<file path=customXml/itemProps3.xml><?xml version="1.0" encoding="utf-8"?>
<ds:datastoreItem xmlns:ds="http://schemas.openxmlformats.org/officeDocument/2006/customXml" ds:itemID="{5F821DD8-7271-4326-9FCF-C8343C32DB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2026-07-09T08:24:16Z</dcterms:created>
  <dcterms:modified xsi:type="dcterms:W3CDTF">2026-07-30T10:53:53Z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0x01010042D6C6B35D0BDB4ABF56F11C4CFE4E28</vt:lpwstr>
  </property>
</Properties>
</file>